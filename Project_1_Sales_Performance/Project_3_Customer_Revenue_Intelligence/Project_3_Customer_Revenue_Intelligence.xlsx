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5676A2A8-3579-4F8F-B10A-1D54BCB7A4D5}" xr6:coauthVersionLast="47" xr6:coauthVersionMax="47" xr10:uidLastSave="{00000000-0000-0000-0000-000000000000}"/>
  <bookViews>
    <workbookView xWindow="-110" yWindow="0" windowWidth="19420" windowHeight="10300" activeTab="2" xr2:uid="{ECDCFD61-C648-4193-80F6-B397FA42E852}"/>
  </bookViews>
  <sheets>
    <sheet name="Sales_Data" sheetId="1" r:id="rId1"/>
    <sheet name="Customer_Data" sheetId="2" r:id="rId2"/>
    <sheet name="Pivot_Analysis" sheetId="4" r:id="rId3"/>
    <sheet name="Dashboard" sheetId="5" r:id="rId4"/>
    <sheet name="Insights" sheetId="6" r:id="rId5"/>
  </sheets>
  <calcPr calcId="191029"/>
  <pivotCaches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H3" i="1" s="1"/>
  <c r="F4" i="1"/>
  <c r="F5" i="1"/>
  <c r="F6" i="1"/>
  <c r="H6" i="1" s="1"/>
  <c r="F7" i="1"/>
  <c r="H7" i="1" s="1"/>
  <c r="F8" i="1"/>
  <c r="F9" i="1"/>
  <c r="F10" i="1"/>
  <c r="H10" i="1" s="1"/>
  <c r="F11" i="1"/>
  <c r="F12" i="1"/>
  <c r="F13" i="1"/>
  <c r="F14" i="1"/>
  <c r="F15" i="1"/>
  <c r="F16" i="1"/>
  <c r="F17" i="1"/>
  <c r="H17" i="1" s="1"/>
  <c r="F18" i="1"/>
  <c r="H18" i="1" s="1"/>
  <c r="F19" i="1"/>
  <c r="F20" i="1"/>
  <c r="F21" i="1"/>
  <c r="F22" i="1"/>
  <c r="F23" i="1"/>
  <c r="F24" i="1"/>
  <c r="F25" i="1"/>
  <c r="H25" i="1" s="1"/>
  <c r="F26" i="1"/>
  <c r="H26" i="1" s="1"/>
  <c r="F27" i="1"/>
  <c r="F28" i="1"/>
  <c r="F29" i="1"/>
  <c r="F30" i="1"/>
  <c r="F31" i="1"/>
  <c r="F32" i="1"/>
  <c r="F33" i="1"/>
  <c r="H33" i="1" s="1"/>
  <c r="F34" i="1"/>
  <c r="H34" i="1" s="1"/>
  <c r="F35" i="1"/>
  <c r="F36" i="1"/>
  <c r="F37" i="1"/>
  <c r="F38" i="1"/>
  <c r="F39" i="1"/>
  <c r="F40" i="1"/>
  <c r="F41" i="1"/>
  <c r="H41" i="1" s="1"/>
  <c r="F42" i="1"/>
  <c r="H42" i="1" s="1"/>
  <c r="F43" i="1"/>
  <c r="F44" i="1"/>
  <c r="F45" i="1"/>
  <c r="F46" i="1"/>
  <c r="F47" i="1"/>
  <c r="F48" i="1"/>
  <c r="F49" i="1"/>
  <c r="H49" i="1" s="1"/>
  <c r="F50" i="1"/>
  <c r="H50" i="1" s="1"/>
  <c r="F51" i="1"/>
  <c r="F52" i="1"/>
  <c r="F53" i="1"/>
  <c r="F54" i="1"/>
  <c r="F55" i="1"/>
  <c r="F56" i="1"/>
  <c r="F57" i="1"/>
  <c r="H57" i="1" s="1"/>
  <c r="F58" i="1"/>
  <c r="H58" i="1" s="1"/>
  <c r="F59" i="1"/>
  <c r="F60" i="1"/>
  <c r="F61" i="1"/>
  <c r="F62" i="1"/>
  <c r="F63" i="1"/>
  <c r="F64" i="1"/>
  <c r="F65" i="1"/>
  <c r="H65" i="1" s="1"/>
  <c r="F66" i="1"/>
  <c r="H66" i="1" s="1"/>
  <c r="F67" i="1"/>
  <c r="F68" i="1"/>
  <c r="F69" i="1"/>
  <c r="F70" i="1"/>
  <c r="F71" i="1"/>
  <c r="F72" i="1"/>
  <c r="F73" i="1"/>
  <c r="H73" i="1" s="1"/>
  <c r="F74" i="1"/>
  <c r="H74" i="1" s="1"/>
  <c r="F75" i="1"/>
  <c r="F76" i="1"/>
  <c r="F77" i="1"/>
  <c r="F78" i="1"/>
  <c r="F79" i="1"/>
  <c r="F80" i="1"/>
  <c r="F81" i="1"/>
  <c r="H81" i="1" s="1"/>
  <c r="F82" i="1"/>
  <c r="H82" i="1" s="1"/>
  <c r="F83" i="1"/>
  <c r="F84" i="1"/>
  <c r="F85" i="1"/>
  <c r="F86" i="1"/>
  <c r="F87" i="1"/>
  <c r="F88" i="1"/>
  <c r="F89" i="1"/>
  <c r="H89" i="1" s="1"/>
  <c r="F90" i="1"/>
  <c r="H90" i="1" s="1"/>
  <c r="F91" i="1"/>
  <c r="F92" i="1"/>
  <c r="F93" i="1"/>
  <c r="F94" i="1"/>
  <c r="F95" i="1"/>
  <c r="F96" i="1"/>
  <c r="F97" i="1"/>
  <c r="H97" i="1" s="1"/>
  <c r="F98" i="1"/>
  <c r="H98" i="1" s="1"/>
  <c r="F99" i="1"/>
  <c r="F100" i="1"/>
  <c r="F101" i="1"/>
  <c r="F102" i="1"/>
  <c r="F103" i="1"/>
  <c r="F104" i="1"/>
  <c r="F105" i="1"/>
  <c r="F106" i="1"/>
  <c r="H106" i="1" s="1"/>
  <c r="F107" i="1"/>
  <c r="F108" i="1"/>
  <c r="F109" i="1"/>
  <c r="F110" i="1"/>
  <c r="F111" i="1"/>
  <c r="F112" i="1"/>
  <c r="F113" i="1"/>
  <c r="F114" i="1"/>
  <c r="H114" i="1" s="1"/>
  <c r="F115" i="1"/>
  <c r="F116" i="1"/>
  <c r="F117" i="1"/>
  <c r="F118" i="1"/>
  <c r="F119" i="1"/>
  <c r="F120" i="1"/>
  <c r="F121" i="1"/>
  <c r="F122" i="1"/>
  <c r="H122" i="1" s="1"/>
  <c r="F123" i="1"/>
  <c r="F124" i="1"/>
  <c r="F125" i="1"/>
  <c r="F126" i="1"/>
  <c r="F127" i="1"/>
  <c r="F128" i="1"/>
  <c r="F129" i="1"/>
  <c r="F130" i="1"/>
  <c r="H130" i="1" s="1"/>
  <c r="F131" i="1"/>
  <c r="F132" i="1"/>
  <c r="F133" i="1"/>
  <c r="F134" i="1"/>
  <c r="F135" i="1"/>
  <c r="F136" i="1"/>
  <c r="F137" i="1"/>
  <c r="F138" i="1"/>
  <c r="H138" i="1" s="1"/>
  <c r="F139" i="1"/>
  <c r="F140" i="1"/>
  <c r="F141" i="1"/>
  <c r="F142" i="1"/>
  <c r="F143" i="1"/>
  <c r="F144" i="1"/>
  <c r="F145" i="1"/>
  <c r="F146" i="1"/>
  <c r="H146" i="1" s="1"/>
  <c r="F147" i="1"/>
  <c r="F148" i="1"/>
  <c r="F149" i="1"/>
  <c r="F150" i="1"/>
  <c r="F151" i="1"/>
  <c r="F152" i="1"/>
  <c r="F153" i="1"/>
  <c r="F154" i="1"/>
  <c r="H154" i="1" s="1"/>
  <c r="F155" i="1"/>
  <c r="F156" i="1"/>
  <c r="F157" i="1"/>
  <c r="F158" i="1"/>
  <c r="F159" i="1"/>
  <c r="F160" i="1"/>
  <c r="F161" i="1"/>
  <c r="F162" i="1"/>
  <c r="H162" i="1" s="1"/>
  <c r="F163" i="1"/>
  <c r="F164" i="1"/>
  <c r="F165" i="1"/>
  <c r="F166" i="1"/>
  <c r="F167" i="1"/>
  <c r="F168" i="1"/>
  <c r="F169" i="1"/>
  <c r="F170" i="1"/>
  <c r="H170" i="1" s="1"/>
  <c r="F171" i="1"/>
  <c r="F172" i="1"/>
  <c r="F173" i="1"/>
  <c r="F174" i="1"/>
  <c r="F175" i="1"/>
  <c r="F176" i="1"/>
  <c r="F177" i="1"/>
  <c r="F178" i="1"/>
  <c r="H178" i="1" s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H194" i="1" s="1"/>
  <c r="F195" i="1"/>
  <c r="F196" i="1"/>
  <c r="F197" i="1"/>
  <c r="F198" i="1"/>
  <c r="F199" i="1"/>
  <c r="F200" i="1"/>
  <c r="F201" i="1"/>
  <c r="F202" i="1"/>
  <c r="H202" i="1" s="1"/>
  <c r="F203" i="1"/>
  <c r="F204" i="1"/>
  <c r="F205" i="1"/>
  <c r="F206" i="1"/>
  <c r="F207" i="1"/>
  <c r="F208" i="1"/>
  <c r="F209" i="1"/>
  <c r="F210" i="1"/>
  <c r="H210" i="1" s="1"/>
  <c r="F211" i="1"/>
  <c r="F212" i="1"/>
  <c r="F213" i="1"/>
  <c r="F214" i="1"/>
  <c r="F215" i="1"/>
  <c r="F216" i="1"/>
  <c r="F217" i="1"/>
  <c r="F218" i="1"/>
  <c r="H218" i="1" s="1"/>
  <c r="F219" i="1"/>
  <c r="F220" i="1"/>
  <c r="F221" i="1"/>
  <c r="F222" i="1"/>
  <c r="F223" i="1"/>
  <c r="F224" i="1"/>
  <c r="F225" i="1"/>
  <c r="F226" i="1"/>
  <c r="H226" i="1" s="1"/>
  <c r="F227" i="1"/>
  <c r="F228" i="1"/>
  <c r="F229" i="1"/>
  <c r="F230" i="1"/>
  <c r="F231" i="1"/>
  <c r="F232" i="1"/>
  <c r="F233" i="1"/>
  <c r="F234" i="1"/>
  <c r="H234" i="1" s="1"/>
  <c r="F235" i="1"/>
  <c r="F236" i="1"/>
  <c r="F237" i="1"/>
  <c r="F238" i="1"/>
  <c r="F239" i="1"/>
  <c r="F240" i="1"/>
  <c r="F241" i="1"/>
  <c r="F242" i="1"/>
  <c r="H242" i="1" s="1"/>
  <c r="F243" i="1"/>
  <c r="F244" i="1"/>
  <c r="F245" i="1"/>
  <c r="F246" i="1"/>
  <c r="F247" i="1"/>
  <c r="F248" i="1"/>
  <c r="F249" i="1"/>
  <c r="F250" i="1"/>
  <c r="H250" i="1" s="1"/>
  <c r="F251" i="1"/>
  <c r="F252" i="1"/>
  <c r="F253" i="1"/>
  <c r="F254" i="1"/>
  <c r="F255" i="1"/>
  <c r="F256" i="1"/>
  <c r="F257" i="1"/>
  <c r="F258" i="1"/>
  <c r="H258" i="1" s="1"/>
  <c r="F259" i="1"/>
  <c r="F260" i="1"/>
  <c r="F261" i="1"/>
  <c r="F262" i="1"/>
  <c r="F263" i="1"/>
  <c r="F264" i="1"/>
  <c r="F265" i="1"/>
  <c r="F266" i="1"/>
  <c r="H266" i="1" s="1"/>
  <c r="F267" i="1"/>
  <c r="F268" i="1"/>
  <c r="F269" i="1"/>
  <c r="F270" i="1"/>
  <c r="F271" i="1"/>
  <c r="F272" i="1"/>
  <c r="F273" i="1"/>
  <c r="F274" i="1"/>
  <c r="H274" i="1" s="1"/>
  <c r="F275" i="1"/>
  <c r="F276" i="1"/>
  <c r="F277" i="1"/>
  <c r="F278" i="1"/>
  <c r="F279" i="1"/>
  <c r="F280" i="1"/>
  <c r="F281" i="1"/>
  <c r="F282" i="1"/>
  <c r="H282" i="1" s="1"/>
  <c r="F283" i="1"/>
  <c r="F284" i="1"/>
  <c r="F285" i="1"/>
  <c r="F286" i="1"/>
  <c r="F287" i="1"/>
  <c r="F288" i="1"/>
  <c r="F289" i="1"/>
  <c r="F290" i="1"/>
  <c r="H290" i="1" s="1"/>
  <c r="F291" i="1"/>
  <c r="F292" i="1"/>
  <c r="F293" i="1"/>
  <c r="F294" i="1"/>
  <c r="F295" i="1"/>
  <c r="F296" i="1"/>
  <c r="F297" i="1"/>
  <c r="F298" i="1"/>
  <c r="H298" i="1" s="1"/>
  <c r="F299" i="1"/>
  <c r="F300" i="1"/>
  <c r="F301" i="1"/>
  <c r="F302" i="1"/>
  <c r="F303" i="1"/>
  <c r="F304" i="1"/>
  <c r="F305" i="1"/>
  <c r="F306" i="1"/>
  <c r="H306" i="1" s="1"/>
  <c r="F307" i="1"/>
  <c r="F308" i="1"/>
  <c r="F309" i="1"/>
  <c r="F310" i="1"/>
  <c r="F311" i="1"/>
  <c r="F312" i="1"/>
  <c r="F313" i="1"/>
  <c r="F314" i="1"/>
  <c r="H314" i="1" s="1"/>
  <c r="F315" i="1"/>
  <c r="F316" i="1"/>
  <c r="F317" i="1"/>
  <c r="F318" i="1"/>
  <c r="F319" i="1"/>
  <c r="F320" i="1"/>
  <c r="F321" i="1"/>
  <c r="F322" i="1"/>
  <c r="H322" i="1" s="1"/>
  <c r="F323" i="1"/>
  <c r="F324" i="1"/>
  <c r="F325" i="1"/>
  <c r="F326" i="1"/>
  <c r="F327" i="1"/>
  <c r="F328" i="1"/>
  <c r="F329" i="1"/>
  <c r="F330" i="1"/>
  <c r="F331" i="1"/>
  <c r="H331" i="1" s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H354" i="1" s="1"/>
  <c r="F355" i="1"/>
  <c r="F356" i="1"/>
  <c r="F357" i="1"/>
  <c r="F358" i="1"/>
  <c r="F359" i="1"/>
  <c r="F360" i="1"/>
  <c r="F361" i="1"/>
  <c r="F362" i="1"/>
  <c r="F363" i="1"/>
  <c r="H363" i="1" s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H386" i="1" s="1"/>
  <c r="F387" i="1"/>
  <c r="F388" i="1"/>
  <c r="F389" i="1"/>
  <c r="F390" i="1"/>
  <c r="F391" i="1"/>
  <c r="F392" i="1"/>
  <c r="F393" i="1"/>
  <c r="F394" i="1"/>
  <c r="F395" i="1"/>
  <c r="H395" i="1" s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H418" i="1" s="1"/>
  <c r="F419" i="1"/>
  <c r="F420" i="1"/>
  <c r="F421" i="1"/>
  <c r="F422" i="1"/>
  <c r="F423" i="1"/>
  <c r="F424" i="1"/>
  <c r="F425" i="1"/>
  <c r="F426" i="1"/>
  <c r="F427" i="1"/>
  <c r="H427" i="1" s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H442" i="1" s="1"/>
  <c r="F443" i="1"/>
  <c r="H443" i="1" s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H458" i="1" s="1"/>
  <c r="F459" i="1"/>
  <c r="H459" i="1" s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H474" i="1" s="1"/>
  <c r="F475" i="1"/>
  <c r="H475" i="1" s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H490" i="1" s="1"/>
  <c r="F491" i="1"/>
  <c r="H491" i="1" s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H506" i="1" s="1"/>
  <c r="F507" i="1"/>
  <c r="H507" i="1" s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H522" i="1" s="1"/>
  <c r="F523" i="1"/>
  <c r="H523" i="1" s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H538" i="1" s="1"/>
  <c r="F539" i="1"/>
  <c r="H539" i="1" s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H554" i="1" s="1"/>
  <c r="F555" i="1"/>
  <c r="H555" i="1" s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H570" i="1" s="1"/>
  <c r="F571" i="1"/>
  <c r="H571" i="1" s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H586" i="1" s="1"/>
  <c r="F587" i="1"/>
  <c r="H587" i="1" s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H602" i="1" s="1"/>
  <c r="F603" i="1"/>
  <c r="H603" i="1" s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H618" i="1" s="1"/>
  <c r="F619" i="1"/>
  <c r="H619" i="1" s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H634" i="1" s="1"/>
  <c r="F635" i="1"/>
  <c r="H635" i="1" s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H650" i="1" s="1"/>
  <c r="F651" i="1"/>
  <c r="H651" i="1" s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H666" i="1" s="1"/>
  <c r="F667" i="1"/>
  <c r="H667" i="1" s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H682" i="1" s="1"/>
  <c r="F683" i="1"/>
  <c r="H683" i="1" s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H698" i="1" s="1"/>
  <c r="F699" i="1"/>
  <c r="H699" i="1" s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H714" i="1" s="1"/>
  <c r="F715" i="1"/>
  <c r="H715" i="1" s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H730" i="1" s="1"/>
  <c r="F731" i="1"/>
  <c r="H731" i="1" s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H746" i="1" s="1"/>
  <c r="F747" i="1"/>
  <c r="H747" i="1" s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H810" i="1" s="1"/>
  <c r="F811" i="1"/>
  <c r="H811" i="1" s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H874" i="1" s="1"/>
  <c r="F875" i="1"/>
  <c r="H875" i="1" s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H938" i="1" s="1"/>
  <c r="F939" i="1"/>
  <c r="H939" i="1" s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 s="1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 s="1"/>
  <c r="B161" i="2" a="1"/>
  <c r="B161" i="2" s="1"/>
  <c r="B162" i="2" a="1"/>
  <c r="B162" i="2" s="1"/>
  <c r="B163" i="2" a="1"/>
  <c r="B163" i="2" s="1"/>
  <c r="B164" i="2" a="1"/>
  <c r="B164" i="2" s="1"/>
  <c r="B165" i="2" a="1"/>
  <c r="B165" i="2" s="1"/>
  <c r="B166" i="2" a="1"/>
  <c r="B166" i="2" s="1"/>
  <c r="B167" i="2" a="1"/>
  <c r="B167" i="2" s="1"/>
  <c r="B168" i="2" a="1"/>
  <c r="B168" i="2" s="1"/>
  <c r="B169" i="2" a="1"/>
  <c r="B169" i="2" s="1"/>
  <c r="B170" i="2" a="1"/>
  <c r="B170" i="2" s="1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 s="1"/>
  <c r="B182" i="2" a="1"/>
  <c r="B182" i="2" s="1"/>
  <c r="B183" i="2" a="1"/>
  <c r="B183" i="2" s="1"/>
  <c r="B184" i="2" a="1"/>
  <c r="B184" i="2" s="1"/>
  <c r="B185" i="2" a="1"/>
  <c r="B185" i="2" s="1"/>
  <c r="B186" i="2" a="1"/>
  <c r="B186" i="2" s="1"/>
  <c r="B187" i="2" a="1"/>
  <c r="B187" i="2" s="1"/>
  <c r="B188" i="2" a="1"/>
  <c r="B188" i="2" s="1"/>
  <c r="B189" i="2" a="1"/>
  <c r="B189" i="2" s="1"/>
  <c r="B190" i="2" a="1"/>
  <c r="B190" i="2" s="1"/>
  <c r="B191" i="2" a="1"/>
  <c r="B191" i="2" s="1"/>
  <c r="B192" i="2" a="1"/>
  <c r="B192" i="2" s="1"/>
  <c r="B193" i="2" a="1"/>
  <c r="B193" i="2" s="1"/>
  <c r="B194" i="2" a="1"/>
  <c r="B194" i="2" s="1"/>
  <c r="B195" i="2" a="1"/>
  <c r="B195" i="2" s="1"/>
  <c r="B196" i="2" a="1"/>
  <c r="B196" i="2" s="1"/>
  <c r="B197" i="2" a="1"/>
  <c r="B197" i="2" s="1"/>
  <c r="B198" i="2" a="1"/>
  <c r="B198" i="2" s="1"/>
  <c r="B199" i="2" a="1"/>
  <c r="B199" i="2" s="1"/>
  <c r="B200" i="2" a="1"/>
  <c r="B200" i="2" s="1"/>
  <c r="B201" i="2" a="1"/>
  <c r="B201" i="2" s="1"/>
  <c r="B2" i="2" a="1"/>
  <c r="B2" i="2" s="1"/>
  <c r="H428" i="1" l="1"/>
  <c r="H396" i="1"/>
  <c r="H364" i="1"/>
  <c r="H332" i="1"/>
  <c r="H674" i="1"/>
  <c r="H370" i="1"/>
  <c r="H979" i="1"/>
  <c r="H915" i="1"/>
  <c r="H851" i="1"/>
  <c r="H787" i="1"/>
  <c r="H723" i="1"/>
  <c r="H707" i="1"/>
  <c r="H691" i="1"/>
  <c r="H675" i="1"/>
  <c r="H659" i="1"/>
  <c r="H643" i="1"/>
  <c r="H627" i="1"/>
  <c r="H611" i="1"/>
  <c r="H595" i="1"/>
  <c r="H579" i="1"/>
  <c r="H563" i="1"/>
  <c r="H547" i="1"/>
  <c r="H531" i="1"/>
  <c r="H515" i="1"/>
  <c r="H499" i="1"/>
  <c r="H483" i="1"/>
  <c r="H467" i="1"/>
  <c r="H451" i="1"/>
  <c r="H435" i="1"/>
  <c r="H419" i="1"/>
  <c r="H411" i="1"/>
  <c r="H403" i="1"/>
  <c r="H387" i="1"/>
  <c r="H379" i="1"/>
  <c r="H371" i="1"/>
  <c r="H355" i="1"/>
  <c r="H347" i="1"/>
  <c r="H339" i="1"/>
  <c r="H323" i="1"/>
  <c r="H315" i="1"/>
  <c r="H307" i="1"/>
  <c r="H299" i="1"/>
  <c r="H291" i="1"/>
  <c r="H283" i="1"/>
  <c r="H275" i="1"/>
  <c r="H267" i="1"/>
  <c r="H259" i="1"/>
  <c r="H251" i="1"/>
  <c r="H243" i="1"/>
  <c r="H235" i="1"/>
  <c r="H227" i="1"/>
  <c r="H219" i="1"/>
  <c r="H211" i="1"/>
  <c r="H203" i="1"/>
  <c r="H195" i="1"/>
  <c r="H187" i="1"/>
  <c r="H179" i="1"/>
  <c r="H171" i="1"/>
  <c r="H163" i="1"/>
  <c r="H155" i="1"/>
  <c r="H147" i="1"/>
  <c r="H139" i="1"/>
  <c r="H131" i="1"/>
  <c r="H123" i="1"/>
  <c r="H115" i="1"/>
  <c r="H107" i="1"/>
  <c r="H99" i="1"/>
  <c r="H91" i="1"/>
  <c r="H83" i="1"/>
  <c r="H75" i="1"/>
  <c r="H67" i="1"/>
  <c r="H59" i="1"/>
  <c r="H51" i="1"/>
  <c r="H43" i="1"/>
  <c r="H35" i="1"/>
  <c r="H27" i="1"/>
  <c r="H19" i="1"/>
  <c r="H11" i="1"/>
  <c r="H962" i="1"/>
  <c r="H770" i="1"/>
  <c r="H450" i="1"/>
  <c r="H330" i="1"/>
  <c r="H706" i="1"/>
  <c r="H610" i="1"/>
  <c r="H562" i="1"/>
  <c r="H514" i="1"/>
  <c r="H466" i="1"/>
  <c r="H402" i="1"/>
  <c r="H346" i="1"/>
  <c r="H328" i="1"/>
  <c r="H320" i="1"/>
  <c r="H312" i="1"/>
  <c r="H304" i="1"/>
  <c r="H296" i="1"/>
  <c r="H288" i="1"/>
  <c r="H280" i="1"/>
  <c r="H272" i="1"/>
  <c r="H264" i="1"/>
  <c r="H256" i="1"/>
  <c r="H248" i="1"/>
  <c r="H240" i="1"/>
  <c r="H232" i="1"/>
  <c r="H224" i="1"/>
  <c r="H216" i="1"/>
  <c r="H208" i="1"/>
  <c r="H200" i="1"/>
  <c r="H192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H16" i="1"/>
  <c r="H530" i="1"/>
  <c r="H434" i="1"/>
  <c r="H319" i="1"/>
  <c r="H311" i="1"/>
  <c r="H303" i="1"/>
  <c r="H295" i="1"/>
  <c r="H287" i="1"/>
  <c r="H279" i="1"/>
  <c r="H271" i="1"/>
  <c r="H263" i="1"/>
  <c r="H255" i="1"/>
  <c r="H247" i="1"/>
  <c r="H239" i="1"/>
  <c r="H231" i="1"/>
  <c r="H223" i="1"/>
  <c r="H215" i="1"/>
  <c r="H207" i="1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31" i="1"/>
  <c r="H23" i="1"/>
  <c r="H15" i="1"/>
  <c r="H658" i="1"/>
  <c r="H626" i="1"/>
  <c r="H394" i="1"/>
  <c r="H338" i="1"/>
  <c r="H14" i="1"/>
  <c r="H898" i="1"/>
  <c r="H690" i="1"/>
  <c r="H642" i="1"/>
  <c r="H594" i="1"/>
  <c r="H482" i="1"/>
  <c r="H426" i="1"/>
  <c r="H378" i="1"/>
  <c r="H445" i="1"/>
  <c r="H429" i="1"/>
  <c r="H389" i="1"/>
  <c r="H365" i="1"/>
  <c r="H834" i="1"/>
  <c r="H722" i="1"/>
  <c r="H578" i="1"/>
  <c r="H546" i="1"/>
  <c r="H498" i="1"/>
  <c r="H410" i="1"/>
  <c r="H362" i="1"/>
  <c r="H420" i="1"/>
  <c r="H412" i="1"/>
  <c r="H404" i="1"/>
  <c r="H388" i="1"/>
  <c r="H380" i="1"/>
  <c r="H372" i="1"/>
  <c r="H356" i="1"/>
  <c r="H348" i="1"/>
  <c r="H340" i="1"/>
  <c r="H324" i="1"/>
  <c r="H316" i="1"/>
  <c r="H308" i="1"/>
  <c r="H300" i="1"/>
  <c r="H292" i="1"/>
  <c r="H284" i="1"/>
  <c r="H276" i="1"/>
  <c r="H268" i="1"/>
  <c r="H260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12" i="1"/>
  <c r="H421" i="1"/>
  <c r="H381" i="1"/>
  <c r="H333" i="1"/>
  <c r="H285" i="1"/>
  <c r="H253" i="1"/>
  <c r="H197" i="1"/>
  <c r="H157" i="1"/>
  <c r="H117" i="1"/>
  <c r="H77" i="1"/>
  <c r="H53" i="1"/>
  <c r="H37" i="1"/>
  <c r="H13" i="1"/>
  <c r="H980" i="1"/>
  <c r="H924" i="1"/>
  <c r="H876" i="1"/>
  <c r="H836" i="1"/>
  <c r="H820" i="1"/>
  <c r="H780" i="1"/>
  <c r="H748" i="1"/>
  <c r="H716" i="1"/>
  <c r="H700" i="1"/>
  <c r="H995" i="1"/>
  <c r="H987" i="1"/>
  <c r="H971" i="1"/>
  <c r="H963" i="1"/>
  <c r="H955" i="1"/>
  <c r="H947" i="1"/>
  <c r="H931" i="1"/>
  <c r="H923" i="1"/>
  <c r="H907" i="1"/>
  <c r="H899" i="1"/>
  <c r="H891" i="1"/>
  <c r="H883" i="1"/>
  <c r="H867" i="1"/>
  <c r="H859" i="1"/>
  <c r="H843" i="1"/>
  <c r="H835" i="1"/>
  <c r="H827" i="1"/>
  <c r="H819" i="1"/>
  <c r="H803" i="1"/>
  <c r="H795" i="1"/>
  <c r="H779" i="1"/>
  <c r="H771" i="1"/>
  <c r="H763" i="1"/>
  <c r="H755" i="1"/>
  <c r="H739" i="1"/>
  <c r="H317" i="1"/>
  <c r="H269" i="1"/>
  <c r="H229" i="1"/>
  <c r="H213" i="1"/>
  <c r="H181" i="1"/>
  <c r="H141" i="1"/>
  <c r="H109" i="1"/>
  <c r="H61" i="1"/>
  <c r="H29" i="1"/>
  <c r="H972" i="1"/>
  <c r="H940" i="1"/>
  <c r="H892" i="1"/>
  <c r="H844" i="1"/>
  <c r="H796" i="1"/>
  <c r="H756" i="1"/>
  <c r="H708" i="1"/>
  <c r="H668" i="1"/>
  <c r="H2" i="1"/>
  <c r="H994" i="1"/>
  <c r="H986" i="1"/>
  <c r="H978" i="1"/>
  <c r="H970" i="1"/>
  <c r="H954" i="1"/>
  <c r="H946" i="1"/>
  <c r="H930" i="1"/>
  <c r="H922" i="1"/>
  <c r="H914" i="1"/>
  <c r="H906" i="1"/>
  <c r="H890" i="1"/>
  <c r="H882" i="1"/>
  <c r="H866" i="1"/>
  <c r="H850" i="1"/>
  <c r="H842" i="1"/>
  <c r="H826" i="1"/>
  <c r="H818" i="1"/>
  <c r="H802" i="1"/>
  <c r="H794" i="1"/>
  <c r="H786" i="1"/>
  <c r="H778" i="1"/>
  <c r="H762" i="1"/>
  <c r="H754" i="1"/>
  <c r="H738" i="1"/>
  <c r="H453" i="1"/>
  <c r="H413" i="1"/>
  <c r="H373" i="1"/>
  <c r="H309" i="1"/>
  <c r="H237" i="1"/>
  <c r="H165" i="1"/>
  <c r="H85" i="1"/>
  <c r="H964" i="1"/>
  <c r="H916" i="1"/>
  <c r="H884" i="1"/>
  <c r="H852" i="1"/>
  <c r="H804" i="1"/>
  <c r="H764" i="1"/>
  <c r="H732" i="1"/>
  <c r="H684" i="1"/>
  <c r="H341" i="1"/>
  <c r="H301" i="1"/>
  <c r="H261" i="1"/>
  <c r="H189" i="1"/>
  <c r="H125" i="1"/>
  <c r="H45" i="1"/>
  <c r="H988" i="1"/>
  <c r="H948" i="1"/>
  <c r="H908" i="1"/>
  <c r="H860" i="1"/>
  <c r="H788" i="1"/>
  <c r="H676" i="1"/>
  <c r="H405" i="1"/>
  <c r="H349" i="1"/>
  <c r="H293" i="1"/>
  <c r="H245" i="1"/>
  <c r="H205" i="1"/>
  <c r="H149" i="1"/>
  <c r="H93" i="1"/>
  <c r="H996" i="1"/>
  <c r="H956" i="1"/>
  <c r="H932" i="1"/>
  <c r="H900" i="1"/>
  <c r="H868" i="1"/>
  <c r="H828" i="1"/>
  <c r="H812" i="1"/>
  <c r="H772" i="1"/>
  <c r="H740" i="1"/>
  <c r="H724" i="1"/>
  <c r="H692" i="1"/>
  <c r="H999" i="1"/>
  <c r="H991" i="1"/>
  <c r="H983" i="1"/>
  <c r="H975" i="1"/>
  <c r="H967" i="1"/>
  <c r="H951" i="1"/>
  <c r="H943" i="1"/>
  <c r="H935" i="1"/>
  <c r="H437" i="1"/>
  <c r="H397" i="1"/>
  <c r="H357" i="1"/>
  <c r="H325" i="1"/>
  <c r="H277" i="1"/>
  <c r="H221" i="1"/>
  <c r="H173" i="1"/>
  <c r="H133" i="1"/>
  <c r="H101" i="1"/>
  <c r="H69" i="1"/>
  <c r="H21" i="1"/>
  <c r="H660" i="1"/>
  <c r="H652" i="1"/>
  <c r="H644" i="1"/>
  <c r="H636" i="1"/>
  <c r="H628" i="1"/>
  <c r="H620" i="1"/>
  <c r="H612" i="1"/>
  <c r="H604" i="1"/>
  <c r="H596" i="1"/>
  <c r="H588" i="1"/>
  <c r="H580" i="1"/>
  <c r="H572" i="1"/>
  <c r="H564" i="1"/>
  <c r="H556" i="1"/>
  <c r="H548" i="1"/>
  <c r="H540" i="1"/>
  <c r="H532" i="1"/>
  <c r="H524" i="1"/>
  <c r="H516" i="1"/>
  <c r="H508" i="1"/>
  <c r="H500" i="1"/>
  <c r="H492" i="1"/>
  <c r="H484" i="1"/>
  <c r="H476" i="1"/>
  <c r="H468" i="1"/>
  <c r="H460" i="1"/>
  <c r="H452" i="1"/>
  <c r="H444" i="1"/>
  <c r="H436" i="1"/>
  <c r="H448" i="1"/>
  <c r="H440" i="1"/>
  <c r="H432" i="1"/>
  <c r="H424" i="1"/>
  <c r="H416" i="1"/>
  <c r="H408" i="1"/>
  <c r="H400" i="1"/>
  <c r="H392" i="1"/>
  <c r="H384" i="1"/>
  <c r="H376" i="1"/>
  <c r="H368" i="1"/>
  <c r="H360" i="1"/>
  <c r="H352" i="1"/>
  <c r="H344" i="1"/>
  <c r="H336" i="1"/>
  <c r="H927" i="1"/>
  <c r="H919" i="1"/>
  <c r="H911" i="1"/>
  <c r="H903" i="1"/>
  <c r="H895" i="1"/>
  <c r="H887" i="1"/>
  <c r="H879" i="1"/>
  <c r="H871" i="1"/>
  <c r="H855" i="1"/>
  <c r="H847" i="1"/>
  <c r="H839" i="1"/>
  <c r="H831" i="1"/>
  <c r="H823" i="1"/>
  <c r="H815" i="1"/>
  <c r="H807" i="1"/>
  <c r="H799" i="1"/>
  <c r="H791" i="1"/>
  <c r="H783" i="1"/>
  <c r="H775" i="1"/>
  <c r="H767" i="1"/>
  <c r="H759" i="1"/>
  <c r="H751" i="1"/>
  <c r="H743" i="1"/>
  <c r="H735" i="1"/>
  <c r="H727" i="1"/>
  <c r="H719" i="1"/>
  <c r="H711" i="1"/>
  <c r="H703" i="1"/>
  <c r="H695" i="1"/>
  <c r="H687" i="1"/>
  <c r="H679" i="1"/>
  <c r="H671" i="1"/>
  <c r="H663" i="1"/>
  <c r="H655" i="1"/>
  <c r="H647" i="1"/>
  <c r="H639" i="1"/>
  <c r="H631" i="1"/>
  <c r="H623" i="1"/>
  <c r="H615" i="1"/>
  <c r="H607" i="1"/>
  <c r="H599" i="1"/>
  <c r="H591" i="1"/>
  <c r="H583" i="1"/>
  <c r="H575" i="1"/>
  <c r="H567" i="1"/>
  <c r="H559" i="1"/>
  <c r="H551" i="1"/>
  <c r="H543" i="1"/>
  <c r="H535" i="1"/>
  <c r="H527" i="1"/>
  <c r="H519" i="1"/>
  <c r="H511" i="1"/>
  <c r="H503" i="1"/>
  <c r="H495" i="1"/>
  <c r="H487" i="1"/>
  <c r="H479" i="1"/>
  <c r="H471" i="1"/>
  <c r="H463" i="1"/>
  <c r="H455" i="1"/>
  <c r="H447" i="1"/>
  <c r="H439" i="1"/>
  <c r="H431" i="1"/>
  <c r="H423" i="1"/>
  <c r="H415" i="1"/>
  <c r="H407" i="1"/>
  <c r="H399" i="1"/>
  <c r="H391" i="1"/>
  <c r="H383" i="1"/>
  <c r="H375" i="1"/>
  <c r="H367" i="1"/>
  <c r="H359" i="1"/>
  <c r="H351" i="1"/>
  <c r="H343" i="1"/>
  <c r="H335" i="1"/>
  <c r="H327" i="1"/>
  <c r="J443" i="1"/>
  <c r="J323" i="1"/>
  <c r="J315" i="1"/>
  <c r="J259" i="1"/>
  <c r="J251" i="1"/>
  <c r="J195" i="1"/>
  <c r="J187" i="1"/>
  <c r="J131" i="1"/>
  <c r="J123" i="1"/>
  <c r="J67" i="1"/>
  <c r="J59" i="1"/>
  <c r="J642" i="1"/>
  <c r="J530" i="1"/>
  <c r="J274" i="1"/>
  <c r="J258" i="1"/>
  <c r="J218" i="1"/>
  <c r="J210" i="1"/>
  <c r="J194" i="1"/>
  <c r="J186" i="1"/>
  <c r="J154" i="1"/>
  <c r="J146" i="1"/>
  <c r="J130" i="1"/>
  <c r="J122" i="1"/>
  <c r="J90" i="1"/>
  <c r="J82" i="1"/>
  <c r="J66" i="1"/>
  <c r="J58" i="1"/>
  <c r="J26" i="1"/>
  <c r="J18" i="1"/>
  <c r="H1001" i="1"/>
  <c r="H993" i="1"/>
  <c r="H985" i="1"/>
  <c r="H977" i="1"/>
  <c r="H969" i="1"/>
  <c r="H961" i="1"/>
  <c r="H953" i="1"/>
  <c r="H945" i="1"/>
  <c r="H937" i="1"/>
  <c r="H929" i="1"/>
  <c r="H921" i="1"/>
  <c r="H913" i="1"/>
  <c r="H905" i="1"/>
  <c r="H897" i="1"/>
  <c r="H889" i="1"/>
  <c r="H881" i="1"/>
  <c r="H873" i="1"/>
  <c r="H865" i="1"/>
  <c r="H857" i="1"/>
  <c r="H849" i="1"/>
  <c r="H841" i="1"/>
  <c r="H833" i="1"/>
  <c r="H825" i="1"/>
  <c r="H817" i="1"/>
  <c r="H809" i="1"/>
  <c r="H801" i="1"/>
  <c r="H793" i="1"/>
  <c r="H785" i="1"/>
  <c r="H777" i="1"/>
  <c r="H769" i="1"/>
  <c r="H761" i="1"/>
  <c r="H753" i="1"/>
  <c r="H745" i="1"/>
  <c r="H737" i="1"/>
  <c r="H729" i="1"/>
  <c r="H721" i="1"/>
  <c r="H713" i="1"/>
  <c r="H705" i="1"/>
  <c r="H697" i="1"/>
  <c r="H689" i="1"/>
  <c r="H681" i="1"/>
  <c r="H673" i="1"/>
  <c r="H665" i="1"/>
  <c r="H657" i="1"/>
  <c r="H649" i="1"/>
  <c r="H641" i="1"/>
  <c r="H633" i="1"/>
  <c r="H625" i="1"/>
  <c r="H617" i="1"/>
  <c r="H609" i="1"/>
  <c r="H601" i="1"/>
  <c r="H593" i="1"/>
  <c r="H585" i="1"/>
  <c r="H577" i="1"/>
  <c r="H569" i="1"/>
  <c r="H561" i="1"/>
  <c r="H553" i="1"/>
  <c r="H545" i="1"/>
  <c r="H537" i="1"/>
  <c r="H529" i="1"/>
  <c r="H521" i="1"/>
  <c r="H513" i="1"/>
  <c r="H505" i="1"/>
  <c r="H497" i="1"/>
  <c r="H489" i="1"/>
  <c r="H481" i="1"/>
  <c r="H473" i="1"/>
  <c r="H465" i="1"/>
  <c r="H457" i="1"/>
  <c r="H449" i="1"/>
  <c r="H441" i="1"/>
  <c r="H433" i="1"/>
  <c r="H425" i="1"/>
  <c r="H417" i="1"/>
  <c r="H409" i="1"/>
  <c r="H401" i="1"/>
  <c r="H393" i="1"/>
  <c r="H385" i="1"/>
  <c r="H377" i="1"/>
  <c r="H369" i="1"/>
  <c r="H361" i="1"/>
  <c r="H353" i="1"/>
  <c r="H345" i="1"/>
  <c r="H337" i="1"/>
  <c r="H329" i="1"/>
  <c r="H321" i="1"/>
  <c r="H313" i="1"/>
  <c r="H305" i="1"/>
  <c r="H297" i="1"/>
  <c r="H289" i="1"/>
  <c r="H281" i="1"/>
  <c r="H273" i="1"/>
  <c r="H265" i="1"/>
  <c r="H257" i="1"/>
  <c r="H249" i="1"/>
  <c r="H241" i="1"/>
  <c r="H233" i="1"/>
  <c r="H225" i="1"/>
  <c r="H217" i="1"/>
  <c r="H209" i="1"/>
  <c r="H201" i="1"/>
  <c r="H193" i="1"/>
  <c r="H185" i="1"/>
  <c r="H177" i="1"/>
  <c r="H169" i="1"/>
  <c r="H161" i="1"/>
  <c r="H153" i="1"/>
  <c r="H145" i="1"/>
  <c r="H137" i="1"/>
  <c r="H129" i="1"/>
  <c r="H121" i="1"/>
  <c r="H113" i="1"/>
  <c r="H105" i="1"/>
  <c r="H998" i="1"/>
  <c r="H990" i="1"/>
  <c r="H982" i="1"/>
  <c r="H974" i="1"/>
  <c r="H966" i="1"/>
  <c r="H958" i="1"/>
  <c r="H950" i="1"/>
  <c r="H942" i="1"/>
  <c r="H934" i="1"/>
  <c r="H926" i="1"/>
  <c r="H918" i="1"/>
  <c r="H910" i="1"/>
  <c r="H902" i="1"/>
  <c r="H894" i="1"/>
  <c r="H886" i="1"/>
  <c r="H878" i="1"/>
  <c r="H870" i="1"/>
  <c r="H862" i="1"/>
  <c r="H854" i="1"/>
  <c r="H846" i="1"/>
  <c r="H838" i="1"/>
  <c r="H830" i="1"/>
  <c r="H822" i="1"/>
  <c r="H814" i="1"/>
  <c r="H806" i="1"/>
  <c r="H798" i="1"/>
  <c r="H790" i="1"/>
  <c r="H782" i="1"/>
  <c r="H774" i="1"/>
  <c r="H766" i="1"/>
  <c r="H758" i="1"/>
  <c r="H750" i="1"/>
  <c r="H742" i="1"/>
  <c r="H734" i="1"/>
  <c r="H726" i="1"/>
  <c r="H718" i="1"/>
  <c r="H710" i="1"/>
  <c r="H1000" i="1"/>
  <c r="H992" i="1"/>
  <c r="H984" i="1"/>
  <c r="H976" i="1"/>
  <c r="H968" i="1"/>
  <c r="H960" i="1"/>
  <c r="H952" i="1"/>
  <c r="H944" i="1"/>
  <c r="H936" i="1"/>
  <c r="H928" i="1"/>
  <c r="H920" i="1"/>
  <c r="H912" i="1"/>
  <c r="H904" i="1"/>
  <c r="H896" i="1"/>
  <c r="H888" i="1"/>
  <c r="H880" i="1"/>
  <c r="H872" i="1"/>
  <c r="H864" i="1"/>
  <c r="H856" i="1"/>
  <c r="H848" i="1"/>
  <c r="H840" i="1"/>
  <c r="H832" i="1"/>
  <c r="H824" i="1"/>
  <c r="H816" i="1"/>
  <c r="H808" i="1"/>
  <c r="H800" i="1"/>
  <c r="H792" i="1"/>
  <c r="H784" i="1"/>
  <c r="H776" i="1"/>
  <c r="H768" i="1"/>
  <c r="H760" i="1"/>
  <c r="H752" i="1"/>
  <c r="H744" i="1"/>
  <c r="H736" i="1"/>
  <c r="H728" i="1"/>
  <c r="H720" i="1"/>
  <c r="H712" i="1"/>
  <c r="H704" i="1"/>
  <c r="H696" i="1"/>
  <c r="H688" i="1"/>
  <c r="H680" i="1"/>
  <c r="H672" i="1"/>
  <c r="H664" i="1"/>
  <c r="H656" i="1"/>
  <c r="H648" i="1"/>
  <c r="H640" i="1"/>
  <c r="H632" i="1"/>
  <c r="H624" i="1"/>
  <c r="H616" i="1"/>
  <c r="H608" i="1"/>
  <c r="H600" i="1"/>
  <c r="H592" i="1"/>
  <c r="H584" i="1"/>
  <c r="H576" i="1"/>
  <c r="H568" i="1"/>
  <c r="H560" i="1"/>
  <c r="H552" i="1"/>
  <c r="H544" i="1"/>
  <c r="H536" i="1"/>
  <c r="H528" i="1"/>
  <c r="H520" i="1"/>
  <c r="H512" i="1"/>
  <c r="H504" i="1"/>
  <c r="H496" i="1"/>
  <c r="H488" i="1"/>
  <c r="H480" i="1"/>
  <c r="H472" i="1"/>
  <c r="H464" i="1"/>
  <c r="H456" i="1"/>
  <c r="H702" i="1"/>
  <c r="H694" i="1"/>
  <c r="H686" i="1"/>
  <c r="H678" i="1"/>
  <c r="H670" i="1"/>
  <c r="H662" i="1"/>
  <c r="H654" i="1"/>
  <c r="H646" i="1"/>
  <c r="H638" i="1"/>
  <c r="H630" i="1"/>
  <c r="H622" i="1"/>
  <c r="H614" i="1"/>
  <c r="H606" i="1"/>
  <c r="H598" i="1"/>
  <c r="H590" i="1"/>
  <c r="H582" i="1"/>
  <c r="H574" i="1"/>
  <c r="H566" i="1"/>
  <c r="H558" i="1"/>
  <c r="H550" i="1"/>
  <c r="H542" i="1"/>
  <c r="H534" i="1"/>
  <c r="H526" i="1"/>
  <c r="H518" i="1"/>
  <c r="H510" i="1"/>
  <c r="H502" i="1"/>
  <c r="H494" i="1"/>
  <c r="H486" i="1"/>
  <c r="H478" i="1"/>
  <c r="H470" i="1"/>
  <c r="H462" i="1"/>
  <c r="H454" i="1"/>
  <c r="H446" i="1"/>
  <c r="H438" i="1"/>
  <c r="H422" i="1"/>
  <c r="H414" i="1"/>
  <c r="H406" i="1"/>
  <c r="H398" i="1"/>
  <c r="H390" i="1"/>
  <c r="H382" i="1"/>
  <c r="H374" i="1"/>
  <c r="H366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230" i="1"/>
  <c r="H222" i="1"/>
  <c r="H214" i="1"/>
  <c r="H206" i="1"/>
  <c r="H198" i="1"/>
  <c r="H190" i="1"/>
  <c r="H182" i="1"/>
  <c r="H174" i="1"/>
  <c r="H166" i="1"/>
  <c r="H158" i="1"/>
  <c r="H150" i="1"/>
  <c r="H142" i="1"/>
  <c r="H134" i="1"/>
  <c r="H126" i="1"/>
  <c r="H118" i="1"/>
  <c r="H110" i="1"/>
  <c r="H102" i="1"/>
  <c r="H94" i="1"/>
  <c r="H86" i="1"/>
  <c r="H78" i="1"/>
  <c r="H70" i="1"/>
  <c r="H62" i="1"/>
  <c r="H54" i="1"/>
  <c r="H46" i="1"/>
  <c r="H38" i="1"/>
  <c r="H30" i="1"/>
  <c r="H22" i="1"/>
  <c r="H997" i="1"/>
  <c r="H989" i="1"/>
  <c r="H981" i="1"/>
  <c r="H973" i="1"/>
  <c r="H965" i="1"/>
  <c r="H957" i="1"/>
  <c r="H949" i="1"/>
  <c r="H941" i="1"/>
  <c r="H933" i="1"/>
  <c r="H925" i="1"/>
  <c r="H917" i="1"/>
  <c r="H909" i="1"/>
  <c r="H901" i="1"/>
  <c r="H893" i="1"/>
  <c r="H885" i="1"/>
  <c r="H877" i="1"/>
  <c r="H869" i="1"/>
  <c r="H861" i="1"/>
  <c r="H853" i="1"/>
  <c r="H837" i="1"/>
  <c r="H829" i="1"/>
  <c r="H821" i="1"/>
  <c r="H813" i="1"/>
  <c r="H805" i="1"/>
  <c r="H797" i="1"/>
  <c r="H789" i="1"/>
  <c r="H781" i="1"/>
  <c r="H773" i="1"/>
  <c r="H765" i="1"/>
  <c r="H757" i="1"/>
  <c r="H749" i="1"/>
  <c r="H741" i="1"/>
  <c r="H733" i="1"/>
  <c r="H725" i="1"/>
  <c r="H717" i="1"/>
  <c r="H709" i="1"/>
  <c r="H701" i="1"/>
  <c r="H693" i="1"/>
  <c r="H685" i="1"/>
  <c r="H677" i="1"/>
  <c r="H669" i="1"/>
  <c r="H661" i="1"/>
  <c r="H653" i="1"/>
  <c r="H645" i="1"/>
  <c r="H637" i="1"/>
  <c r="H629" i="1"/>
  <c r="H621" i="1"/>
  <c r="H613" i="1"/>
  <c r="H605" i="1"/>
  <c r="H597" i="1"/>
  <c r="H589" i="1"/>
  <c r="H581" i="1"/>
  <c r="H573" i="1"/>
  <c r="H565" i="1"/>
  <c r="H557" i="1"/>
  <c r="H549" i="1"/>
  <c r="H541" i="1"/>
  <c r="H533" i="1"/>
  <c r="H525" i="1"/>
  <c r="H517" i="1"/>
  <c r="H509" i="1"/>
  <c r="H501" i="1"/>
  <c r="H493" i="1"/>
  <c r="H485" i="1"/>
  <c r="H477" i="1"/>
  <c r="H469" i="1"/>
  <c r="H461" i="1"/>
  <c r="H8" i="1"/>
  <c r="H959" i="1"/>
  <c r="H186" i="1"/>
  <c r="H4" i="1"/>
  <c r="H5" i="1"/>
  <c r="H430" i="1"/>
  <c r="H9" i="1"/>
  <c r="H858" i="1"/>
  <c r="H863" i="1"/>
  <c r="H845" i="1"/>
  <c r="J441" i="1"/>
  <c r="J121" i="1"/>
  <c r="J57" i="1"/>
  <c r="J669" i="1"/>
  <c r="J621" i="1"/>
  <c r="J565" i="1"/>
  <c r="J509" i="1"/>
  <c r="J469" i="1"/>
  <c r="J413" i="1"/>
  <c r="J373" i="1"/>
  <c r="J325" i="1"/>
  <c r="J962" i="1"/>
  <c r="J1001" i="1"/>
  <c r="J977" i="1"/>
  <c r="J953" i="1"/>
  <c r="J921" i="1"/>
  <c r="J897" i="1"/>
  <c r="J873" i="1"/>
  <c r="J841" i="1"/>
  <c r="J809" i="1"/>
  <c r="J785" i="1"/>
  <c r="J761" i="1"/>
  <c r="J737" i="1"/>
  <c r="J705" i="1"/>
  <c r="J689" i="1"/>
  <c r="J673" i="1"/>
  <c r="J649" i="1"/>
  <c r="J625" i="1"/>
  <c r="J593" i="1"/>
  <c r="J425" i="1"/>
  <c r="J409" i="1"/>
  <c r="J369" i="1"/>
  <c r="J983" i="1"/>
  <c r="J967" i="1"/>
  <c r="J951" i="1"/>
  <c r="J935" i="1"/>
  <c r="J919" i="1"/>
  <c r="J895" i="1"/>
  <c r="J879" i="1"/>
  <c r="J863" i="1"/>
  <c r="J847" i="1"/>
  <c r="J831" i="1"/>
  <c r="J807" i="1"/>
  <c r="J775" i="1"/>
  <c r="J998" i="1"/>
  <c r="J990" i="1"/>
  <c r="J982" i="1"/>
  <c r="J974" i="1"/>
  <c r="J966" i="1"/>
  <c r="J958" i="1"/>
  <c r="J950" i="1"/>
  <c r="J942" i="1"/>
  <c r="J934" i="1"/>
  <c r="J926" i="1"/>
  <c r="J918" i="1"/>
  <c r="J910" i="1"/>
  <c r="J902" i="1"/>
  <c r="J894" i="1"/>
  <c r="J886" i="1"/>
  <c r="J878" i="1"/>
  <c r="J870" i="1"/>
  <c r="J862" i="1"/>
  <c r="J854" i="1"/>
  <c r="J846" i="1"/>
  <c r="J838" i="1"/>
  <c r="J830" i="1"/>
  <c r="J822" i="1"/>
  <c r="J814" i="1"/>
  <c r="J806" i="1"/>
  <c r="J798" i="1"/>
  <c r="J790" i="1"/>
  <c r="J782" i="1"/>
  <c r="J774" i="1"/>
  <c r="J766" i="1"/>
  <c r="J758" i="1"/>
  <c r="J750" i="1"/>
  <c r="J742" i="1"/>
  <c r="J734" i="1"/>
  <c r="J726" i="1"/>
  <c r="J718" i="1"/>
  <c r="J710" i="1"/>
  <c r="J702" i="1"/>
  <c r="J694" i="1"/>
  <c r="J686" i="1"/>
  <c r="J678" i="1"/>
  <c r="J670" i="1"/>
  <c r="J662" i="1"/>
  <c r="J654" i="1"/>
  <c r="J646" i="1"/>
  <c r="J638" i="1"/>
  <c r="J630" i="1"/>
  <c r="J622" i="1"/>
  <c r="J614" i="1"/>
  <c r="J606" i="1"/>
  <c r="J598" i="1"/>
  <c r="J590" i="1"/>
  <c r="J965" i="1"/>
  <c r="J901" i="1"/>
  <c r="J837" i="1"/>
  <c r="J773" i="1"/>
  <c r="J709" i="1"/>
  <c r="J505" i="1"/>
  <c r="J653" i="1"/>
  <c r="J605" i="1"/>
  <c r="J549" i="1"/>
  <c r="J493" i="1"/>
  <c r="J453" i="1"/>
  <c r="J429" i="1"/>
  <c r="J397" i="1"/>
  <c r="J357" i="1"/>
  <c r="J341" i="1"/>
  <c r="J293" i="1"/>
  <c r="J277" i="1"/>
  <c r="J261" i="1"/>
  <c r="J245" i="1"/>
  <c r="J221" i="1"/>
  <c r="J205" i="1"/>
  <c r="J189" i="1"/>
  <c r="J173" i="1"/>
  <c r="J157" i="1"/>
  <c r="J141" i="1"/>
  <c r="J125" i="1"/>
  <c r="J109" i="1"/>
  <c r="J85" i="1"/>
  <c r="J69" i="1"/>
  <c r="J53" i="1"/>
  <c r="J37" i="1"/>
  <c r="J21" i="1"/>
  <c r="J13" i="1"/>
  <c r="J957" i="1"/>
  <c r="J893" i="1"/>
  <c r="J829" i="1"/>
  <c r="J765" i="1"/>
  <c r="J701" i="1"/>
  <c r="J996" i="1"/>
  <c r="J988" i="1"/>
  <c r="J980" i="1"/>
  <c r="J972" i="1"/>
  <c r="J964" i="1"/>
  <c r="J956" i="1"/>
  <c r="J948" i="1"/>
  <c r="J940" i="1"/>
  <c r="J932" i="1"/>
  <c r="J924" i="1"/>
  <c r="J916" i="1"/>
  <c r="J908" i="1"/>
  <c r="J900" i="1"/>
  <c r="J892" i="1"/>
  <c r="J884" i="1"/>
  <c r="J876" i="1"/>
  <c r="J868" i="1"/>
  <c r="J860" i="1"/>
  <c r="J852" i="1"/>
  <c r="J844" i="1"/>
  <c r="J836" i="1"/>
  <c r="J828" i="1"/>
  <c r="J820" i="1"/>
  <c r="J812" i="1"/>
  <c r="J804" i="1"/>
  <c r="J796" i="1"/>
  <c r="J788" i="1"/>
  <c r="J780" i="1"/>
  <c r="J772" i="1"/>
  <c r="J764" i="1"/>
  <c r="J756" i="1"/>
  <c r="J748" i="1"/>
  <c r="J740" i="1"/>
  <c r="J732" i="1"/>
  <c r="J724" i="1"/>
  <c r="J716" i="1"/>
  <c r="J708" i="1"/>
  <c r="J700" i="1"/>
  <c r="J692" i="1"/>
  <c r="J684" i="1"/>
  <c r="J676" i="1"/>
  <c r="J668" i="1"/>
  <c r="J660" i="1"/>
  <c r="J652" i="1"/>
  <c r="J644" i="1"/>
  <c r="J636" i="1"/>
  <c r="J628" i="1"/>
  <c r="J620" i="1"/>
  <c r="J949" i="1"/>
  <c r="J885" i="1"/>
  <c r="J821" i="1"/>
  <c r="J757" i="1"/>
  <c r="J693" i="1"/>
  <c r="J377" i="1"/>
  <c r="J645" i="1"/>
  <c r="J597" i="1"/>
  <c r="J557" i="1"/>
  <c r="J525" i="1"/>
  <c r="J485" i="1"/>
  <c r="J445" i="1"/>
  <c r="J405" i="1"/>
  <c r="J365" i="1"/>
  <c r="J349" i="1"/>
  <c r="J333" i="1"/>
  <c r="J285" i="1"/>
  <c r="J269" i="1"/>
  <c r="J253" i="1"/>
  <c r="J237" i="1"/>
  <c r="J229" i="1"/>
  <c r="J213" i="1"/>
  <c r="J197" i="1"/>
  <c r="J181" i="1"/>
  <c r="J165" i="1"/>
  <c r="J149" i="1"/>
  <c r="J133" i="1"/>
  <c r="J117" i="1"/>
  <c r="J101" i="1"/>
  <c r="J93" i="1"/>
  <c r="J77" i="1"/>
  <c r="J61" i="1"/>
  <c r="J45" i="1"/>
  <c r="J29" i="1"/>
  <c r="J5" i="1"/>
  <c r="J995" i="1"/>
  <c r="J987" i="1"/>
  <c r="J979" i="1"/>
  <c r="J971" i="1"/>
  <c r="J963" i="1"/>
  <c r="J955" i="1"/>
  <c r="J947" i="1"/>
  <c r="J939" i="1"/>
  <c r="J931" i="1"/>
  <c r="J923" i="1"/>
  <c r="J915" i="1"/>
  <c r="J907" i="1"/>
  <c r="J899" i="1"/>
  <c r="J891" i="1"/>
  <c r="J883" i="1"/>
  <c r="J875" i="1"/>
  <c r="J867" i="1"/>
  <c r="J859" i="1"/>
  <c r="J851" i="1"/>
  <c r="J843" i="1"/>
  <c r="J835" i="1"/>
  <c r="J827" i="1"/>
  <c r="J819" i="1"/>
  <c r="J811" i="1"/>
  <c r="J803" i="1"/>
  <c r="J795" i="1"/>
  <c r="J787" i="1"/>
  <c r="J779" i="1"/>
  <c r="J771" i="1"/>
  <c r="J763" i="1"/>
  <c r="J755" i="1"/>
  <c r="J747" i="1"/>
  <c r="J739" i="1"/>
  <c r="J731" i="1"/>
  <c r="J723" i="1"/>
  <c r="J715" i="1"/>
  <c r="J707" i="1"/>
  <c r="J699" i="1"/>
  <c r="J691" i="1"/>
  <c r="J683" i="1"/>
  <c r="J675" i="1"/>
  <c r="J667" i="1"/>
  <c r="J659" i="1"/>
  <c r="J651" i="1"/>
  <c r="J643" i="1"/>
  <c r="J635" i="1"/>
  <c r="J627" i="1"/>
  <c r="J619" i="1"/>
  <c r="J611" i="1"/>
  <c r="J603" i="1"/>
  <c r="J595" i="1"/>
  <c r="J587" i="1"/>
  <c r="J579" i="1"/>
  <c r="J571" i="1"/>
  <c r="J563" i="1"/>
  <c r="J555" i="1"/>
  <c r="J547" i="1"/>
  <c r="J539" i="1"/>
  <c r="J531" i="1"/>
  <c r="J523" i="1"/>
  <c r="J515" i="1"/>
  <c r="J507" i="1"/>
  <c r="J499" i="1"/>
  <c r="J491" i="1"/>
  <c r="J483" i="1"/>
  <c r="J475" i="1"/>
  <c r="J467" i="1"/>
  <c r="J459" i="1"/>
  <c r="J451" i="1"/>
  <c r="J435" i="1"/>
  <c r="J427" i="1"/>
  <c r="J419" i="1"/>
  <c r="J411" i="1"/>
  <c r="J403" i="1"/>
  <c r="J395" i="1"/>
  <c r="J387" i="1"/>
  <c r="J379" i="1"/>
  <c r="J371" i="1"/>
  <c r="J363" i="1"/>
  <c r="J355" i="1"/>
  <c r="J941" i="1"/>
  <c r="J877" i="1"/>
  <c r="J813" i="1"/>
  <c r="J749" i="1"/>
  <c r="J685" i="1"/>
  <c r="J313" i="1"/>
  <c r="J661" i="1"/>
  <c r="J613" i="1"/>
  <c r="J573" i="1"/>
  <c r="J517" i="1"/>
  <c r="J461" i="1"/>
  <c r="J421" i="1"/>
  <c r="J381" i="1"/>
  <c r="J317" i="1"/>
  <c r="J994" i="1"/>
  <c r="J978" i="1"/>
  <c r="J954" i="1"/>
  <c r="J946" i="1"/>
  <c r="J938" i="1"/>
  <c r="J930" i="1"/>
  <c r="J922" i="1"/>
  <c r="J914" i="1"/>
  <c r="J906" i="1"/>
  <c r="J898" i="1"/>
  <c r="J890" i="1"/>
  <c r="J882" i="1"/>
  <c r="J874" i="1"/>
  <c r="J866" i="1"/>
  <c r="J858" i="1"/>
  <c r="J850" i="1"/>
  <c r="J842" i="1"/>
  <c r="J834" i="1"/>
  <c r="J826" i="1"/>
  <c r="J818" i="1"/>
  <c r="J810" i="1"/>
  <c r="J802" i="1"/>
  <c r="J794" i="1"/>
  <c r="J786" i="1"/>
  <c r="J778" i="1"/>
  <c r="J770" i="1"/>
  <c r="J762" i="1"/>
  <c r="J754" i="1"/>
  <c r="J746" i="1"/>
  <c r="J738" i="1"/>
  <c r="J730" i="1"/>
  <c r="J722" i="1"/>
  <c r="J714" i="1"/>
  <c r="J706" i="1"/>
  <c r="J698" i="1"/>
  <c r="J690" i="1"/>
  <c r="J682" i="1"/>
  <c r="J666" i="1"/>
  <c r="J658" i="1"/>
  <c r="J650" i="1"/>
  <c r="J634" i="1"/>
  <c r="J626" i="1"/>
  <c r="J618" i="1"/>
  <c r="J610" i="1"/>
  <c r="J602" i="1"/>
  <c r="J594" i="1"/>
  <c r="J586" i="1"/>
  <c r="J578" i="1"/>
  <c r="J570" i="1"/>
  <c r="J562" i="1"/>
  <c r="J554" i="1"/>
  <c r="J546" i="1"/>
  <c r="J538" i="1"/>
  <c r="J522" i="1"/>
  <c r="J514" i="1"/>
  <c r="J506" i="1"/>
  <c r="J498" i="1"/>
  <c r="J490" i="1"/>
  <c r="J482" i="1"/>
  <c r="J474" i="1"/>
  <c r="J466" i="1"/>
  <c r="J458" i="1"/>
  <c r="J450" i="1"/>
  <c r="J442" i="1"/>
  <c r="J434" i="1"/>
  <c r="J426" i="1"/>
  <c r="J418" i="1"/>
  <c r="J410" i="1"/>
  <c r="J402" i="1"/>
  <c r="J394" i="1"/>
  <c r="J386" i="1"/>
  <c r="J378" i="1"/>
  <c r="J370" i="1"/>
  <c r="J362" i="1"/>
  <c r="J354" i="1"/>
  <c r="J346" i="1"/>
  <c r="J338" i="1"/>
  <c r="J330" i="1"/>
  <c r="J322" i="1"/>
  <c r="J314" i="1"/>
  <c r="J306" i="1"/>
  <c r="J298" i="1"/>
  <c r="J290" i="1"/>
  <c r="J282" i="1"/>
  <c r="J997" i="1"/>
  <c r="J933" i="1"/>
  <c r="J869" i="1"/>
  <c r="J805" i="1"/>
  <c r="J741" i="1"/>
  <c r="J674" i="1"/>
  <c r="J249" i="1"/>
  <c r="J217" i="1"/>
  <c r="J209" i="1"/>
  <c r="J201" i="1"/>
  <c r="J193" i="1"/>
  <c r="J177" i="1"/>
  <c r="J169" i="1"/>
  <c r="J989" i="1"/>
  <c r="J925" i="1"/>
  <c r="J861" i="1"/>
  <c r="J797" i="1"/>
  <c r="J733" i="1"/>
  <c r="J663" i="1"/>
  <c r="J185" i="1"/>
  <c r="J637" i="1"/>
  <c r="J581" i="1"/>
  <c r="J533" i="1"/>
  <c r="J301" i="1"/>
  <c r="J970" i="1"/>
  <c r="J993" i="1"/>
  <c r="J969" i="1"/>
  <c r="J937" i="1"/>
  <c r="J913" i="1"/>
  <c r="J889" i="1"/>
  <c r="J865" i="1"/>
  <c r="J849" i="1"/>
  <c r="J825" i="1"/>
  <c r="J801" i="1"/>
  <c r="J769" i="1"/>
  <c r="J745" i="1"/>
  <c r="J721" i="1"/>
  <c r="J609" i="1"/>
  <c r="J585" i="1"/>
  <c r="J577" i="1"/>
  <c r="J561" i="1"/>
  <c r="J545" i="1"/>
  <c r="J529" i="1"/>
  <c r="J513" i="1"/>
  <c r="J489" i="1"/>
  <c r="J473" i="1"/>
  <c r="J457" i="1"/>
  <c r="J433" i="1"/>
  <c r="J417" i="1"/>
  <c r="J401" i="1"/>
  <c r="J393" i="1"/>
  <c r="J385" i="1"/>
  <c r="J361" i="1"/>
  <c r="J353" i="1"/>
  <c r="J345" i="1"/>
  <c r="J337" i="1"/>
  <c r="J329" i="1"/>
  <c r="J321" i="1"/>
  <c r="J305" i="1"/>
  <c r="J297" i="1"/>
  <c r="J289" i="1"/>
  <c r="J281" i="1"/>
  <c r="J273" i="1"/>
  <c r="J265" i="1"/>
  <c r="J257" i="1"/>
  <c r="J241" i="1"/>
  <c r="J233" i="1"/>
  <c r="J225" i="1"/>
  <c r="J1000" i="1"/>
  <c r="J992" i="1"/>
  <c r="J984" i="1"/>
  <c r="J976" i="1"/>
  <c r="J968" i="1"/>
  <c r="J960" i="1"/>
  <c r="J952" i="1"/>
  <c r="J944" i="1"/>
  <c r="J936" i="1"/>
  <c r="J928" i="1"/>
  <c r="J920" i="1"/>
  <c r="J912" i="1"/>
  <c r="J904" i="1"/>
  <c r="J896" i="1"/>
  <c r="J888" i="1"/>
  <c r="J880" i="1"/>
  <c r="J872" i="1"/>
  <c r="J864" i="1"/>
  <c r="J856" i="1"/>
  <c r="J848" i="1"/>
  <c r="J840" i="1"/>
  <c r="J832" i="1"/>
  <c r="J824" i="1"/>
  <c r="J816" i="1"/>
  <c r="J808" i="1"/>
  <c r="J800" i="1"/>
  <c r="J792" i="1"/>
  <c r="J784" i="1"/>
  <c r="J776" i="1"/>
  <c r="J768" i="1"/>
  <c r="J760" i="1"/>
  <c r="J752" i="1"/>
  <c r="J744" i="1"/>
  <c r="J736" i="1"/>
  <c r="J728" i="1"/>
  <c r="J720" i="1"/>
  <c r="J712" i="1"/>
  <c r="J704" i="1"/>
  <c r="J696" i="1"/>
  <c r="J688" i="1"/>
  <c r="J680" i="1"/>
  <c r="J672" i="1"/>
  <c r="J664" i="1"/>
  <c r="J656" i="1"/>
  <c r="J648" i="1"/>
  <c r="J640" i="1"/>
  <c r="J632" i="1"/>
  <c r="J624" i="1"/>
  <c r="J616" i="1"/>
  <c r="J608" i="1"/>
  <c r="J600" i="1"/>
  <c r="J592" i="1"/>
  <c r="J584" i="1"/>
  <c r="J576" i="1"/>
  <c r="J568" i="1"/>
  <c r="J560" i="1"/>
  <c r="J981" i="1"/>
  <c r="J917" i="1"/>
  <c r="J853" i="1"/>
  <c r="J789" i="1"/>
  <c r="J725" i="1"/>
  <c r="J633" i="1"/>
  <c r="J677" i="1"/>
  <c r="J629" i="1"/>
  <c r="J589" i="1"/>
  <c r="J541" i="1"/>
  <c r="J501" i="1"/>
  <c r="J477" i="1"/>
  <c r="J437" i="1"/>
  <c r="J389" i="1"/>
  <c r="J309" i="1"/>
  <c r="J986" i="1"/>
  <c r="J985" i="1"/>
  <c r="J961" i="1"/>
  <c r="J945" i="1"/>
  <c r="J929" i="1"/>
  <c r="J905" i="1"/>
  <c r="J881" i="1"/>
  <c r="J857" i="1"/>
  <c r="J833" i="1"/>
  <c r="J817" i="1"/>
  <c r="J793" i="1"/>
  <c r="J777" i="1"/>
  <c r="J753" i="1"/>
  <c r="J729" i="1"/>
  <c r="J713" i="1"/>
  <c r="J697" i="1"/>
  <c r="J681" i="1"/>
  <c r="J665" i="1"/>
  <c r="J657" i="1"/>
  <c r="J641" i="1"/>
  <c r="J617" i="1"/>
  <c r="J601" i="1"/>
  <c r="J553" i="1"/>
  <c r="J537" i="1"/>
  <c r="J521" i="1"/>
  <c r="J497" i="1"/>
  <c r="J481" i="1"/>
  <c r="J465" i="1"/>
  <c r="J449" i="1"/>
  <c r="J999" i="1"/>
  <c r="J991" i="1"/>
  <c r="J975" i="1"/>
  <c r="J959" i="1"/>
  <c r="J943" i="1"/>
  <c r="J927" i="1"/>
  <c r="J911" i="1"/>
  <c r="J903" i="1"/>
  <c r="J887" i="1"/>
  <c r="J871" i="1"/>
  <c r="J855" i="1"/>
  <c r="J839" i="1"/>
  <c r="J823" i="1"/>
  <c r="J815" i="1"/>
  <c r="J799" i="1"/>
  <c r="J791" i="1"/>
  <c r="J783" i="1"/>
  <c r="J767" i="1"/>
  <c r="J759" i="1"/>
  <c r="J751" i="1"/>
  <c r="J743" i="1"/>
  <c r="J735" i="1"/>
  <c r="J727" i="1"/>
  <c r="J719" i="1"/>
  <c r="J711" i="1"/>
  <c r="J703" i="1"/>
  <c r="J695" i="1"/>
  <c r="J687" i="1"/>
  <c r="J679" i="1"/>
  <c r="J671" i="1"/>
  <c r="J655" i="1"/>
  <c r="J647" i="1"/>
  <c r="J639" i="1"/>
  <c r="J631" i="1"/>
  <c r="J623" i="1"/>
  <c r="J615" i="1"/>
  <c r="J607" i="1"/>
  <c r="J599" i="1"/>
  <c r="J591" i="1"/>
  <c r="J583" i="1"/>
  <c r="J575" i="1"/>
  <c r="J567" i="1"/>
  <c r="J559" i="1"/>
  <c r="J973" i="1"/>
  <c r="J909" i="1"/>
  <c r="J845" i="1"/>
  <c r="J781" i="1"/>
  <c r="J717" i="1"/>
  <c r="J569" i="1"/>
  <c r="J582" i="1"/>
  <c r="J574" i="1"/>
  <c r="J566" i="1"/>
  <c r="J558" i="1"/>
  <c r="J550" i="1"/>
  <c r="J542" i="1"/>
  <c r="J534" i="1"/>
  <c r="J526" i="1"/>
  <c r="J518" i="1"/>
  <c r="J510" i="1"/>
  <c r="J502" i="1"/>
  <c r="J494" i="1"/>
  <c r="J486" i="1"/>
  <c r="J478" i="1"/>
  <c r="J470" i="1"/>
  <c r="J462" i="1"/>
  <c r="J454" i="1"/>
  <c r="J446" i="1"/>
  <c r="J438" i="1"/>
  <c r="J430" i="1"/>
  <c r="J422" i="1"/>
  <c r="J414" i="1"/>
  <c r="J406" i="1"/>
  <c r="J398" i="1"/>
  <c r="J390" i="1"/>
  <c r="J382" i="1"/>
  <c r="J374" i="1"/>
  <c r="J366" i="1"/>
  <c r="J358" i="1"/>
  <c r="J350" i="1"/>
  <c r="J342" i="1"/>
  <c r="J334" i="1"/>
  <c r="J326" i="1"/>
  <c r="J318" i="1"/>
  <c r="J310" i="1"/>
  <c r="J302" i="1"/>
  <c r="J294" i="1"/>
  <c r="J286" i="1"/>
  <c r="J278" i="1"/>
  <c r="J270" i="1"/>
  <c r="J262" i="1"/>
  <c r="J254" i="1"/>
  <c r="J246" i="1"/>
  <c r="J238" i="1"/>
  <c r="J230" i="1"/>
  <c r="J222" i="1"/>
  <c r="J214" i="1"/>
  <c r="J206" i="1"/>
  <c r="J198" i="1"/>
  <c r="J190" i="1"/>
  <c r="J182" i="1"/>
  <c r="J174" i="1"/>
  <c r="J166" i="1"/>
  <c r="J158" i="1"/>
  <c r="J150" i="1"/>
  <c r="J142" i="1"/>
  <c r="J134" i="1"/>
  <c r="J126" i="1"/>
  <c r="J118" i="1"/>
  <c r="J110" i="1"/>
  <c r="J102" i="1"/>
  <c r="J94" i="1"/>
  <c r="J86" i="1"/>
  <c r="J78" i="1"/>
  <c r="J70" i="1"/>
  <c r="J62" i="1"/>
  <c r="J54" i="1"/>
  <c r="J46" i="1"/>
  <c r="J38" i="1"/>
  <c r="J30" i="1"/>
  <c r="J22" i="1"/>
  <c r="J14" i="1"/>
  <c r="J6" i="1"/>
  <c r="J129" i="1"/>
  <c r="J65" i="1"/>
  <c r="J612" i="1"/>
  <c r="J604" i="1"/>
  <c r="J596" i="1"/>
  <c r="J588" i="1"/>
  <c r="J580" i="1"/>
  <c r="J572" i="1"/>
  <c r="J564" i="1"/>
  <c r="J556" i="1"/>
  <c r="J548" i="1"/>
  <c r="J540" i="1"/>
  <c r="J532" i="1"/>
  <c r="J524" i="1"/>
  <c r="J516" i="1"/>
  <c r="J508" i="1"/>
  <c r="J500" i="1"/>
  <c r="J492" i="1"/>
  <c r="J484" i="1"/>
  <c r="J476" i="1"/>
  <c r="J468" i="1"/>
  <c r="J460" i="1"/>
  <c r="J452" i="1"/>
  <c r="J444" i="1"/>
  <c r="J436" i="1"/>
  <c r="J428" i="1"/>
  <c r="J420" i="1"/>
  <c r="J412" i="1"/>
  <c r="J404" i="1"/>
  <c r="J396" i="1"/>
  <c r="J388" i="1"/>
  <c r="J380" i="1"/>
  <c r="J372" i="1"/>
  <c r="J364" i="1"/>
  <c r="J356" i="1"/>
  <c r="J348" i="1"/>
  <c r="J340" i="1"/>
  <c r="J332" i="1"/>
  <c r="J324" i="1"/>
  <c r="J316" i="1"/>
  <c r="J308" i="1"/>
  <c r="J300" i="1"/>
  <c r="J292" i="1"/>
  <c r="J284" i="1"/>
  <c r="J276" i="1"/>
  <c r="J268" i="1"/>
  <c r="J260" i="1"/>
  <c r="J252" i="1"/>
  <c r="J244" i="1"/>
  <c r="J236" i="1"/>
  <c r="J228" i="1"/>
  <c r="J220" i="1"/>
  <c r="J212" i="1"/>
  <c r="J204" i="1"/>
  <c r="J196" i="1"/>
  <c r="J188" i="1"/>
  <c r="J180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60" i="1"/>
  <c r="J52" i="1"/>
  <c r="J44" i="1"/>
  <c r="J36" i="1"/>
  <c r="J28" i="1"/>
  <c r="J20" i="1"/>
  <c r="J12" i="1"/>
  <c r="J4" i="1"/>
  <c r="J113" i="1"/>
  <c r="J49" i="1"/>
  <c r="J347" i="1"/>
  <c r="J339" i="1"/>
  <c r="J331" i="1"/>
  <c r="J307" i="1"/>
  <c r="J299" i="1"/>
  <c r="J291" i="1"/>
  <c r="J283" i="1"/>
  <c r="J275" i="1"/>
  <c r="J267" i="1"/>
  <c r="J243" i="1"/>
  <c r="J235" i="1"/>
  <c r="J227" i="1"/>
  <c r="J219" i="1"/>
  <c r="J211" i="1"/>
  <c r="J203" i="1"/>
  <c r="J179" i="1"/>
  <c r="J171" i="1"/>
  <c r="J163" i="1"/>
  <c r="J155" i="1"/>
  <c r="J147" i="1"/>
  <c r="J139" i="1"/>
  <c r="J115" i="1"/>
  <c r="J107" i="1"/>
  <c r="J99" i="1"/>
  <c r="J91" i="1"/>
  <c r="J83" i="1"/>
  <c r="J75" i="1"/>
  <c r="J51" i="1"/>
  <c r="J43" i="1"/>
  <c r="J35" i="1"/>
  <c r="J27" i="1"/>
  <c r="J19" i="1"/>
  <c r="J11" i="1"/>
  <c r="J3" i="1"/>
  <c r="J105" i="1"/>
  <c r="J41" i="1"/>
  <c r="J266" i="1"/>
  <c r="J250" i="1"/>
  <c r="J242" i="1"/>
  <c r="J234" i="1"/>
  <c r="J226" i="1"/>
  <c r="J202" i="1"/>
  <c r="J178" i="1"/>
  <c r="J170" i="1"/>
  <c r="J162" i="1"/>
  <c r="J138" i="1"/>
  <c r="J114" i="1"/>
  <c r="J106" i="1"/>
  <c r="J98" i="1"/>
  <c r="J74" i="1"/>
  <c r="J50" i="1"/>
  <c r="J42" i="1"/>
  <c r="J34" i="1"/>
  <c r="J10" i="1"/>
  <c r="J161" i="1"/>
  <c r="J97" i="1"/>
  <c r="J33" i="1"/>
  <c r="J153" i="1"/>
  <c r="J89" i="1"/>
  <c r="J25" i="1"/>
  <c r="J552" i="1"/>
  <c r="J544" i="1"/>
  <c r="J536" i="1"/>
  <c r="J528" i="1"/>
  <c r="J520" i="1"/>
  <c r="J512" i="1"/>
  <c r="J504" i="1"/>
  <c r="J496" i="1"/>
  <c r="J488" i="1"/>
  <c r="J480" i="1"/>
  <c r="J472" i="1"/>
  <c r="J464" i="1"/>
  <c r="J456" i="1"/>
  <c r="J448" i="1"/>
  <c r="J440" i="1"/>
  <c r="J432" i="1"/>
  <c r="J424" i="1"/>
  <c r="J416" i="1"/>
  <c r="J408" i="1"/>
  <c r="J400" i="1"/>
  <c r="J392" i="1"/>
  <c r="J384" i="1"/>
  <c r="J376" i="1"/>
  <c r="J368" i="1"/>
  <c r="J360" i="1"/>
  <c r="J352" i="1"/>
  <c r="J344" i="1"/>
  <c r="J336" i="1"/>
  <c r="J328" i="1"/>
  <c r="J320" i="1"/>
  <c r="J312" i="1"/>
  <c r="J304" i="1"/>
  <c r="J296" i="1"/>
  <c r="J288" i="1"/>
  <c r="J280" i="1"/>
  <c r="J272" i="1"/>
  <c r="J264" i="1"/>
  <c r="J256" i="1"/>
  <c r="J248" i="1"/>
  <c r="J240" i="1"/>
  <c r="J232" i="1"/>
  <c r="J224" i="1"/>
  <c r="J216" i="1"/>
  <c r="J208" i="1"/>
  <c r="J200" i="1"/>
  <c r="J192" i="1"/>
  <c r="J184" i="1"/>
  <c r="J176" i="1"/>
  <c r="J168" i="1"/>
  <c r="J160" i="1"/>
  <c r="J152" i="1"/>
  <c r="J144" i="1"/>
  <c r="J136" i="1"/>
  <c r="J128" i="1"/>
  <c r="J120" i="1"/>
  <c r="J112" i="1"/>
  <c r="J104" i="1"/>
  <c r="J96" i="1"/>
  <c r="J88" i="1"/>
  <c r="J80" i="1"/>
  <c r="J72" i="1"/>
  <c r="J64" i="1"/>
  <c r="J56" i="1"/>
  <c r="J48" i="1"/>
  <c r="J40" i="1"/>
  <c r="J32" i="1"/>
  <c r="J24" i="1"/>
  <c r="J16" i="1"/>
  <c r="J8" i="1"/>
  <c r="J145" i="1"/>
  <c r="J81" i="1"/>
  <c r="J17" i="1"/>
  <c r="J551" i="1"/>
  <c r="J543" i="1"/>
  <c r="J535" i="1"/>
  <c r="J527" i="1"/>
  <c r="J519" i="1"/>
  <c r="J511" i="1"/>
  <c r="J503" i="1"/>
  <c r="J495" i="1"/>
  <c r="J487" i="1"/>
  <c r="J479" i="1"/>
  <c r="J471" i="1"/>
  <c r="J463" i="1"/>
  <c r="J455" i="1"/>
  <c r="J447" i="1"/>
  <c r="J439" i="1"/>
  <c r="J431" i="1"/>
  <c r="J423" i="1"/>
  <c r="J415" i="1"/>
  <c r="J407" i="1"/>
  <c r="J399" i="1"/>
  <c r="J391" i="1"/>
  <c r="J383" i="1"/>
  <c r="J375" i="1"/>
  <c r="J367" i="1"/>
  <c r="J359" i="1"/>
  <c r="J351" i="1"/>
  <c r="J343" i="1"/>
  <c r="J335" i="1"/>
  <c r="J327" i="1"/>
  <c r="J319" i="1"/>
  <c r="J311" i="1"/>
  <c r="J303" i="1"/>
  <c r="J295" i="1"/>
  <c r="J287" i="1"/>
  <c r="J279" i="1"/>
  <c r="J271" i="1"/>
  <c r="J263" i="1"/>
  <c r="J255" i="1"/>
  <c r="J247" i="1"/>
  <c r="J239" i="1"/>
  <c r="J231" i="1"/>
  <c r="J223" i="1"/>
  <c r="J215" i="1"/>
  <c r="J207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55" i="1"/>
  <c r="J47" i="1"/>
  <c r="J39" i="1"/>
  <c r="J31" i="1"/>
  <c r="J23" i="1"/>
  <c r="J15" i="1"/>
  <c r="J7" i="1"/>
  <c r="J137" i="1"/>
  <c r="J73" i="1"/>
  <c r="J9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<sst xmlns="http://schemas.openxmlformats.org/spreadsheetml/2006/main" count="4694" uniqueCount="1279">
  <si>
    <t>Order ID</t>
  </si>
  <si>
    <t>Customer ID</t>
  </si>
  <si>
    <t>Date</t>
  </si>
  <si>
    <t>Product</t>
  </si>
  <si>
    <t>Category</t>
  </si>
  <si>
    <t>Quantity</t>
  </si>
  <si>
    <t>Price</t>
  </si>
  <si>
    <t>Revenue</t>
  </si>
  <si>
    <t>Customer Name</t>
  </si>
  <si>
    <t>Region</t>
  </si>
  <si>
    <t>Membership Type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</si>
  <si>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</si>
  <si>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</si>
  <si>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</si>
  <si>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</si>
  <si>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</si>
  <si>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</si>
  <si>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</si>
  <si>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</si>
  <si>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</si>
  <si>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</si>
  <si>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</si>
  <si>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</si>
  <si>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</si>
  <si>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</si>
  <si>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</si>
  <si>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</si>
  <si>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</si>
  <si>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</si>
  <si>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</si>
  <si>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</si>
  <si>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</si>
  <si>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</si>
  <si>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</si>
  <si>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</si>
  <si>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</si>
  <si>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</si>
  <si>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</si>
  <si>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</si>
  <si>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</si>
  <si>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</si>
  <si>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</si>
  <si>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</si>
  <si>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</si>
  <si>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</si>
  <si>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</si>
  <si>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</si>
  <si>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</si>
  <si>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</si>
  <si>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</si>
  <si>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</si>
  <si>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</si>
  <si>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</si>
  <si>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</si>
  <si>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</si>
  <si>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</si>
  <si>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</si>
  <si>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</si>
  <si>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</si>
  <si>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</si>
  <si>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</si>
  <si>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</si>
  <si>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</si>
  <si>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</si>
  <si>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</si>
  <si>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</si>
  <si>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</si>
  <si>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</si>
  <si>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</si>
  <si>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</si>
  <si>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</si>
  <si>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</si>
  <si>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</si>
  <si>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</si>
  <si>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</si>
  <si>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</si>
  <si>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</si>
  <si>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</si>
  <si>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</si>
  <si>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</si>
  <si>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</si>
  <si>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</si>
  <si>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</si>
  <si>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</si>
  <si>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</si>
  <si>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</si>
  <si>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</si>
  <si>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</si>
  <si>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</si>
  <si>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</si>
  <si>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</si>
  <si>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</si>
  <si>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</si>
  <si>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</si>
  <si>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</si>
  <si>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</si>
  <si>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</si>
  <si>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</si>
  <si>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</si>
  <si>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</si>
  <si>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</si>
  <si>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</si>
  <si>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</si>
  <si>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</si>
  <si>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</si>
  <si>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</si>
  <si>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</si>
  <si>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</si>
  <si>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</si>
  <si>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</si>
  <si>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</si>
  <si>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</si>
  <si>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</si>
  <si>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</si>
  <si>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</si>
  <si>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</si>
  <si>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</si>
  <si>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</si>
  <si>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</si>
  <si>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</si>
  <si>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</si>
  <si>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</si>
  <si>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</si>
  <si>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</si>
  <si>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</si>
  <si>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</si>
  <si>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</si>
  <si>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</si>
  <si>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</si>
  <si>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</si>
  <si>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</si>
  <si>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</si>
  <si>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</si>
  <si>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</si>
  <si>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</si>
  <si>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</si>
  <si>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</si>
  <si>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</si>
  <si>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</si>
  <si>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</si>
  <si>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</si>
  <si>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</si>
  <si>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</si>
  <si>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</si>
  <si>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</si>
  <si>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</si>
  <si>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</si>
  <si>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</si>
  <si>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</si>
  <si>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</si>
  <si>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</si>
  <si>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</si>
  <si>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</si>
  <si>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</si>
  <si>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</si>
  <si>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</si>
  <si>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</si>
  <si>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</si>
  <si>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</si>
  <si>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</si>
  <si>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</si>
  <si>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</si>
  <si>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</si>
  <si>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</si>
  <si>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</si>
  <si>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</si>
  <si>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</si>
  <si>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</si>
  <si>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</si>
  <si>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</si>
  <si>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</si>
  <si>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</si>
  <si>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</si>
  <si>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</si>
  <si>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</si>
  <si>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</si>
  <si>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</si>
  <si>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</si>
  <si>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</si>
  <si>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</si>
  <si>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</si>
  <si>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</si>
  <si>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</si>
  <si>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</si>
  <si>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</si>
  <si>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</si>
  <si>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</si>
  <si>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</si>
  <si>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</si>
  <si>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</si>
  <si>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</si>
  <si>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</si>
  <si>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</si>
  <si>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</si>
  <si>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</si>
  <si>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</si>
  <si>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</si>
  <si>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</si>
  <si>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</si>
  <si>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</si>
  <si>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</si>
  <si>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</si>
  <si>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</si>
  <si>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</si>
  <si>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</si>
  <si>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</si>
  <si>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</si>
  <si>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</si>
  <si>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</si>
  <si>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</si>
  <si>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</si>
  <si>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North</t>
  </si>
  <si>
    <t>South</t>
  </si>
  <si>
    <t>West</t>
  </si>
  <si>
    <t>East</t>
  </si>
  <si>
    <t xml:space="preserve">East </t>
  </si>
  <si>
    <t>Regular</t>
  </si>
  <si>
    <t>Silver</t>
  </si>
  <si>
    <t>Gold</t>
  </si>
  <si>
    <t>James</t>
  </si>
  <si>
    <t>Olivia</t>
  </si>
  <si>
    <t>Michael</t>
  </si>
  <si>
    <t>Sophia</t>
  </si>
  <si>
    <t>Daniel</t>
  </si>
  <si>
    <t>Emma</t>
  </si>
  <si>
    <t>David</t>
  </si>
  <si>
    <t>Ava</t>
  </si>
  <si>
    <t>John</t>
  </si>
  <si>
    <t>Isabella</t>
  </si>
  <si>
    <t>Chris</t>
  </si>
  <si>
    <t>Mia</t>
  </si>
  <si>
    <t>Andrew</t>
  </si>
  <si>
    <t>Amara</t>
  </si>
  <si>
    <t>Noah</t>
  </si>
  <si>
    <t>Smith</t>
  </si>
  <si>
    <t>Johnson</t>
  </si>
  <si>
    <t>Brown</t>
  </si>
  <si>
    <t>Williams</t>
  </si>
  <si>
    <t>Jones</t>
  </si>
  <si>
    <t>Garcia</t>
  </si>
  <si>
    <t>Miller</t>
  </si>
  <si>
    <t>Davis</t>
  </si>
  <si>
    <t>Wilson</t>
  </si>
  <si>
    <t>Anderson</t>
  </si>
  <si>
    <t>Thomas</t>
  </si>
  <si>
    <t>Taylor</t>
  </si>
  <si>
    <t>Moore</t>
  </si>
  <si>
    <t>Martin</t>
  </si>
  <si>
    <t>Jackson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</si>
  <si>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</si>
  <si>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</si>
  <si>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</si>
  <si>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</si>
  <si>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</si>
  <si>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</si>
  <si>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</si>
  <si>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</si>
  <si>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</si>
  <si>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</si>
  <si>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</si>
  <si>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</si>
  <si>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</si>
  <si>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</si>
  <si>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</si>
  <si>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</si>
  <si>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</si>
  <si>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</si>
  <si>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</si>
  <si>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</si>
  <si>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</si>
  <si>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</si>
  <si>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</si>
  <si>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</si>
  <si>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</si>
  <si>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</si>
  <si>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</si>
  <si>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</si>
  <si>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</si>
  <si>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</si>
  <si>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</si>
  <si>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</si>
  <si>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</si>
  <si>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</si>
  <si>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</si>
  <si>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</si>
  <si>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</si>
  <si>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</si>
  <si>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</si>
  <si>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</si>
  <si>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</si>
  <si>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</si>
  <si>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</si>
  <si>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</si>
  <si>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</si>
  <si>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</si>
  <si>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</si>
  <si>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</si>
  <si>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</si>
  <si>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</si>
  <si>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</si>
  <si>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</si>
  <si>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</si>
  <si>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</si>
  <si>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</si>
  <si>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</si>
  <si>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</si>
  <si>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</si>
  <si>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</si>
  <si>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</si>
  <si>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</si>
  <si>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</si>
  <si>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</si>
  <si>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</si>
  <si>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</si>
  <si>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</si>
  <si>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</si>
  <si>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</si>
  <si>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</si>
  <si>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</si>
  <si>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</si>
  <si>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</si>
  <si>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</si>
  <si>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</si>
  <si>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</si>
  <si>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</si>
  <si>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</si>
  <si>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</si>
  <si>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</si>
  <si>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</si>
  <si>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</si>
  <si>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</si>
  <si>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</si>
  <si>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</si>
  <si>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</si>
  <si>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</si>
  <si>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</si>
  <si>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</si>
  <si>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</si>
  <si>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</si>
  <si>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</si>
  <si>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</si>
  <si>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</si>
  <si>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</si>
  <si>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</si>
  <si>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</si>
  <si>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</si>
  <si>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</si>
  <si>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</si>
  <si>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</si>
  <si>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</si>
  <si>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</si>
  <si>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</si>
  <si>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</si>
  <si>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</si>
  <si>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</si>
  <si>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</si>
  <si>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</si>
  <si>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</si>
  <si>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</si>
  <si>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</si>
  <si>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</si>
  <si>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</si>
  <si>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</si>
  <si>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</si>
  <si>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</si>
  <si>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</si>
  <si>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</si>
  <si>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</si>
  <si>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</si>
  <si>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</si>
  <si>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</si>
  <si>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</si>
  <si>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</si>
  <si>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</si>
  <si>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</si>
  <si>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</si>
  <si>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</si>
  <si>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</si>
  <si>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</si>
  <si>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</si>
  <si>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</si>
  <si>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</si>
  <si>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</si>
  <si>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</si>
  <si>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</si>
  <si>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</si>
  <si>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</si>
  <si>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</si>
  <si>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</si>
  <si>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</si>
  <si>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</si>
  <si>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</si>
  <si>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</si>
  <si>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</si>
  <si>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</si>
  <si>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</si>
  <si>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</si>
  <si>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</si>
  <si>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</si>
  <si>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</si>
  <si>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</si>
  <si>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</si>
  <si>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</si>
  <si>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</si>
  <si>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</si>
  <si>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</si>
  <si>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</si>
  <si>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</si>
  <si>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</si>
  <si>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</si>
  <si>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</si>
  <si>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</si>
  <si>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</si>
  <si>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</si>
  <si>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</si>
  <si>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</si>
  <si>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</si>
  <si>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</si>
  <si>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</si>
  <si>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</si>
  <si>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</si>
  <si>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</si>
  <si>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</si>
  <si>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</si>
  <si>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</si>
  <si>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</si>
  <si>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</si>
  <si>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</si>
  <si>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</si>
  <si>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</si>
  <si>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</si>
  <si>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</si>
  <si>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</si>
  <si>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</si>
  <si>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</si>
  <si>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</si>
  <si>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</si>
  <si>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</si>
  <si>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</si>
  <si>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</si>
  <si>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</si>
  <si>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</si>
  <si>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</si>
  <si>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</si>
  <si>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</si>
  <si>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</si>
  <si>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</si>
  <si>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</si>
  <si>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</si>
  <si>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</si>
  <si>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</si>
  <si>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</si>
  <si>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</si>
  <si>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</si>
  <si>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</si>
  <si>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</si>
  <si>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</si>
  <si>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</si>
  <si>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</si>
  <si>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</si>
  <si>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</si>
  <si>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</si>
  <si>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</si>
  <si>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</si>
  <si>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</si>
  <si>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</si>
  <si>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</si>
  <si>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</si>
  <si>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</si>
  <si>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</si>
  <si>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</si>
  <si>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</si>
  <si>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</si>
  <si>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</si>
  <si>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</si>
  <si>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</si>
  <si>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</si>
  <si>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</si>
  <si>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</si>
  <si>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</si>
  <si>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</si>
  <si>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</si>
  <si>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</si>
  <si>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</si>
  <si>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</si>
  <si>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</si>
  <si>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</si>
  <si>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</si>
  <si>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</si>
  <si>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</si>
  <si>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</si>
  <si>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</si>
  <si>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</si>
  <si>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</si>
  <si>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</si>
  <si>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</si>
  <si>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</si>
  <si>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</si>
  <si>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</si>
  <si>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</si>
  <si>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</si>
  <si>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</si>
  <si>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</si>
  <si>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</si>
  <si>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</si>
  <si>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</si>
  <si>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</si>
  <si>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</si>
  <si>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</si>
  <si>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</si>
  <si>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</si>
  <si>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</si>
  <si>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</si>
  <si>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</si>
  <si>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</si>
  <si>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</si>
  <si>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</si>
  <si>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</si>
  <si>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</si>
  <si>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</si>
  <si>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</si>
  <si>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</si>
  <si>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</si>
  <si>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</si>
  <si>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</si>
  <si>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</si>
  <si>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</si>
  <si>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</si>
  <si>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</si>
  <si>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</si>
  <si>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</si>
  <si>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</si>
  <si>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</si>
  <si>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</si>
  <si>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</si>
  <si>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</si>
  <si>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</si>
  <si>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</si>
  <si>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</si>
  <si>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</si>
  <si>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</si>
  <si>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</si>
  <si>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</si>
  <si>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</si>
  <si>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</si>
  <si>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</si>
  <si>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</si>
  <si>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</si>
  <si>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</si>
  <si>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</si>
  <si>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</si>
  <si>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</si>
  <si>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</si>
  <si>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</si>
  <si>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</si>
  <si>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</si>
  <si>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</si>
  <si>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</si>
  <si>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</si>
  <si>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</si>
  <si>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</si>
  <si>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</si>
  <si>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</si>
  <si>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</si>
  <si>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</si>
  <si>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</si>
  <si>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</si>
  <si>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</si>
  <si>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</si>
  <si>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</si>
  <si>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</si>
  <si>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</si>
  <si>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</si>
  <si>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</si>
  <si>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</si>
  <si>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</si>
  <si>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</si>
  <si>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</si>
  <si>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</si>
  <si>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</si>
  <si>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</si>
  <si>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</si>
  <si>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</si>
  <si>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</si>
  <si>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</si>
  <si>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</si>
  <si>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</si>
  <si>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</si>
  <si>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</si>
  <si>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</si>
  <si>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</si>
  <si>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</si>
  <si>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</si>
  <si>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</si>
  <si>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</si>
  <si>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</si>
  <si>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</si>
  <si>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</si>
  <si>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</si>
  <si>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</si>
  <si>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</si>
  <si>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</si>
  <si>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</si>
  <si>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</si>
  <si>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</si>
  <si>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</si>
  <si>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</si>
  <si>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</si>
  <si>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</si>
  <si>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</si>
  <si>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</si>
  <si>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</si>
  <si>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</si>
  <si>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</si>
  <si>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</si>
  <si>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</si>
  <si>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</si>
  <si>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</si>
  <si>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</si>
  <si>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</si>
  <si>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</si>
  <si>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</si>
  <si>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</si>
  <si>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</si>
  <si>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</si>
  <si>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</si>
  <si>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</si>
  <si>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</si>
  <si>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</si>
  <si>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</si>
  <si>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</si>
  <si>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</si>
  <si>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</si>
  <si>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</si>
  <si>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</si>
  <si>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</si>
  <si>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</si>
  <si>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</si>
  <si>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</si>
  <si>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</si>
  <si>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</si>
  <si>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</si>
  <si>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</si>
  <si>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</si>
  <si>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</si>
  <si>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</si>
  <si>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</si>
  <si>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</si>
  <si>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</si>
  <si>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</si>
  <si>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</si>
  <si>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</si>
  <si>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</si>
  <si>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</si>
  <si>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</si>
  <si>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</si>
  <si>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</si>
  <si>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</si>
  <si>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</si>
  <si>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</si>
  <si>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</si>
  <si>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</si>
  <si>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</si>
  <si>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</si>
  <si>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</si>
  <si>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</si>
  <si>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</si>
  <si>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</si>
  <si>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</si>
  <si>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</si>
  <si>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</si>
  <si>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</si>
  <si>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</si>
  <si>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</si>
  <si>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</si>
  <si>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</si>
  <si>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</si>
  <si>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</si>
  <si>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</si>
  <si>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</si>
  <si>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</si>
  <si>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</si>
  <si>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</si>
  <si>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</si>
  <si>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</si>
  <si>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</si>
  <si>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</si>
  <si>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</si>
  <si>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</si>
  <si>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</si>
  <si>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</si>
  <si>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</si>
  <si>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</si>
  <si>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</si>
  <si>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</si>
  <si>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</si>
  <si>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</si>
  <si>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</si>
  <si>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</si>
  <si>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</si>
  <si>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</si>
  <si>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</si>
  <si>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</si>
  <si>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</si>
  <si>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</si>
  <si>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</si>
  <si>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</si>
  <si>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</si>
  <si>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</si>
  <si>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</si>
  <si>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</si>
  <si>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</si>
  <si>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</si>
  <si>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</si>
  <si>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</si>
  <si>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</si>
  <si>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</si>
  <si>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</si>
  <si>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</si>
  <si>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</si>
  <si>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</si>
  <si>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</si>
  <si>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</si>
  <si>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</si>
  <si>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</si>
  <si>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</si>
  <si>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</si>
  <si>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</si>
  <si>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</si>
  <si>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</si>
  <si>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</si>
  <si>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</si>
  <si>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</si>
  <si>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</si>
  <si>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</si>
  <si>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</si>
  <si>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</si>
  <si>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</si>
  <si>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</si>
  <si>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</si>
  <si>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</si>
  <si>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</si>
  <si>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</si>
  <si>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</si>
  <si>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</si>
  <si>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</si>
  <si>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</si>
  <si>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</si>
  <si>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</si>
  <si>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</si>
  <si>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</si>
  <si>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</si>
  <si>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</si>
  <si>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</si>
  <si>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</si>
  <si>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</si>
  <si>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ORD508</t>
  </si>
  <si>
    <t>ORD509</t>
  </si>
  <si>
    <t>ORD510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</si>
  <si>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</si>
  <si>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</si>
  <si>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</si>
  <si>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</si>
  <si>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</si>
  <si>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</si>
  <si>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</si>
  <si>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</si>
  <si>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</si>
  <si>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</si>
  <si>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</si>
  <si>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</si>
  <si>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</si>
  <si>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</si>
  <si>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ORD525</t>
  </si>
  <si>
    <t>ORD526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</si>
  <si>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</si>
  <si>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</si>
  <si>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</si>
  <si>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</si>
  <si>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</si>
  <si>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</si>
  <si>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</si>
  <si>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</si>
  <si>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</si>
  <si>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</si>
  <si>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</si>
  <si>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</si>
  <si>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</si>
  <si>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</si>
  <si>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</si>
  <si>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</si>
  <si>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</si>
  <si>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</si>
  <si>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</si>
  <si>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</si>
  <si>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</si>
  <si>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</si>
  <si>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</si>
  <si>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</si>
  <si>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</si>
  <si>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</si>
  <si>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</si>
  <si>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</si>
  <si>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</si>
  <si>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</si>
  <si>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</si>
  <si>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</si>
  <si>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</si>
  <si>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</si>
  <si>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</si>
  <si>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</si>
  <si>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</si>
  <si>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</si>
  <si>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</si>
  <si>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</si>
  <si>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</si>
  <si>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</si>
  <si>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</si>
  <si>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</si>
  <si>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</si>
  <si>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</si>
  <si>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</si>
  <si>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</si>
  <si>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</si>
  <si>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</si>
  <si>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</si>
  <si>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</si>
  <si>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</si>
  <si>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</si>
  <si>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</si>
  <si>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</si>
  <si>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</si>
  <si>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</si>
  <si>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</si>
  <si>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</si>
  <si>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</si>
  <si>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</si>
  <si>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</si>
  <si>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</si>
  <si>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</si>
  <si>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</si>
  <si>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</si>
  <si>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</si>
  <si>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</si>
  <si>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</si>
  <si>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</si>
  <si>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</si>
  <si>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</si>
  <si>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</si>
  <si>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</si>
  <si>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</si>
  <si>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</si>
  <si>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</si>
  <si>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</si>
  <si>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</si>
  <si>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</si>
  <si>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</si>
  <si>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</si>
  <si>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</si>
  <si>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</si>
  <si>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</si>
  <si>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</si>
  <si>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</si>
  <si>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</si>
  <si>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</si>
  <si>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</si>
  <si>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</si>
  <si>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</si>
  <si>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</si>
  <si>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</si>
  <si>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</si>
  <si>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</si>
  <si>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</si>
  <si>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</si>
  <si>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</si>
  <si>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</si>
  <si>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</si>
  <si>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</si>
  <si>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</si>
  <si>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</si>
  <si>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</si>
  <si>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</si>
  <si>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</si>
  <si>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</si>
  <si>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</si>
  <si>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</si>
  <si>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</si>
  <si>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</si>
  <si>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</si>
  <si>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</si>
  <si>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</si>
  <si>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</si>
  <si>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</si>
  <si>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</si>
  <si>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</si>
  <si>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</si>
  <si>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</si>
  <si>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</si>
  <si>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</si>
  <si>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</si>
  <si>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</si>
  <si>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</si>
  <si>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</si>
  <si>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</si>
  <si>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</si>
  <si>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</si>
  <si>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</si>
  <si>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</si>
  <si>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</si>
  <si>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</si>
  <si>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</si>
  <si>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</si>
  <si>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</si>
  <si>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</si>
  <si>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</si>
  <si>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</si>
  <si>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</si>
  <si>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</si>
  <si>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</si>
  <si>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</si>
  <si>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</si>
  <si>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</si>
  <si>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</si>
  <si>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</si>
  <si>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</si>
  <si>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</si>
  <si>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</si>
  <si>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</si>
  <si>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</si>
  <si>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</si>
  <si>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</si>
  <si>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</si>
  <si>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</si>
  <si>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</si>
  <si>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</si>
  <si>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</si>
  <si>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</si>
  <si>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</si>
  <si>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</si>
  <si>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</si>
  <si>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</si>
  <si>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</si>
  <si>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</si>
  <si>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</si>
  <si>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</si>
  <si>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</si>
  <si>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</si>
  <si>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</si>
  <si>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</si>
  <si>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</si>
  <si>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</si>
  <si>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</si>
  <si>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</si>
  <si>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</si>
  <si>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</si>
  <si>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</si>
  <si>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</si>
  <si>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</si>
  <si>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</si>
  <si>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</si>
  <si>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</si>
  <si>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</si>
  <si>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</si>
  <si>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</si>
  <si>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</si>
  <si>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</si>
  <si>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</si>
  <si>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</si>
  <si>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</si>
  <si>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</si>
  <si>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</si>
  <si>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</si>
  <si>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</si>
  <si>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</si>
  <si>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</si>
  <si>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</si>
  <si>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</si>
  <si>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</si>
  <si>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</si>
  <si>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</si>
  <si>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</si>
  <si>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</si>
  <si>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</si>
  <si>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</si>
  <si>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</si>
  <si>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</si>
  <si>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</si>
  <si>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</si>
  <si>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</si>
  <si>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</si>
  <si>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</si>
  <si>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</si>
  <si>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</si>
  <si>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</si>
  <si>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</si>
  <si>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</si>
  <si>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</si>
  <si>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</si>
  <si>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</si>
  <si>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</si>
  <si>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</si>
  <si>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</si>
  <si>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</si>
  <si>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</si>
  <si>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</si>
  <si>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</si>
  <si>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</si>
  <si>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</si>
  <si>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</si>
  <si>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</si>
  <si>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</si>
  <si>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</si>
  <si>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</si>
  <si>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</si>
  <si>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</si>
  <si>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</si>
  <si>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</si>
  <si>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</si>
  <si>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</si>
  <si>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</si>
  <si>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</si>
  <si>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</si>
  <si>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</si>
  <si>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</si>
  <si>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</si>
  <si>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</si>
  <si>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</si>
  <si>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</si>
  <si>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</si>
  <si>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</si>
  <si>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</si>
  <si>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</si>
  <si>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</si>
  <si>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</si>
  <si>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</si>
  <si>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</si>
  <si>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</si>
  <si>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</si>
  <si>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</si>
  <si>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</si>
  <si>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</si>
  <si>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</si>
  <si>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</si>
  <si>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</si>
  <si>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</si>
  <si>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</si>
  <si>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</si>
  <si>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</si>
  <si>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</si>
  <si>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</si>
  <si>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</si>
  <si>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</si>
  <si>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</si>
  <si>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</si>
  <si>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</si>
  <si>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</si>
  <si>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</si>
  <si>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</si>
  <si>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</si>
  <si>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</si>
  <si>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</si>
  <si>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</si>
  <si>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</si>
  <si>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</si>
  <si>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</si>
  <si>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</si>
  <si>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</si>
  <si>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</si>
  <si>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</si>
  <si>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</si>
  <si>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</si>
  <si>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</si>
  <si>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</si>
  <si>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</si>
  <si>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</si>
  <si>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</si>
  <si>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</si>
  <si>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</si>
  <si>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</si>
  <si>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</si>
  <si>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</si>
  <si>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</si>
  <si>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</si>
  <si>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</si>
  <si>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</si>
  <si>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</si>
  <si>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</si>
  <si>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</si>
  <si>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</si>
  <si>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</si>
  <si>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</si>
  <si>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</si>
  <si>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</si>
  <si>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</si>
  <si>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</si>
  <si>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</si>
  <si>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</si>
  <si>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</si>
  <si>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</si>
  <si>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</si>
  <si>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</si>
  <si>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</si>
  <si>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</si>
  <si>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</si>
  <si>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</si>
  <si>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</si>
  <si>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</si>
  <si>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</si>
  <si>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</si>
  <si>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</si>
  <si>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</si>
  <si>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</si>
  <si>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</si>
  <si>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</si>
  <si>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</si>
  <si>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</si>
  <si>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</si>
  <si>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</si>
  <si>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</si>
  <si>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</si>
  <si>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</si>
  <si>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</si>
  <si>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</si>
  <si>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</si>
  <si>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</si>
  <si>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</si>
  <si>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</si>
  <si>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</si>
  <si>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</si>
  <si>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</si>
  <si>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</si>
  <si>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</si>
  <si>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</si>
  <si>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</si>
  <si>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</si>
  <si>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</si>
  <si>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</si>
  <si>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</si>
  <si>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</si>
  <si>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</si>
  <si>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</si>
  <si>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</si>
  <si>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</si>
  <si>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</si>
  <si>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</si>
  <si>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</si>
  <si>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</si>
  <si>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</si>
  <si>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</si>
  <si>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</si>
  <si>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</si>
  <si>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</si>
  <si>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</si>
  <si>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</si>
  <si>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</si>
  <si>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</si>
  <si>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</si>
  <si>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</si>
  <si>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</si>
  <si>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</si>
  <si>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</si>
  <si>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</si>
  <si>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</si>
  <si>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</si>
  <si>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</si>
  <si>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</si>
  <si>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</si>
  <si>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</si>
  <si>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</si>
  <si>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</si>
  <si>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</si>
  <si>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</si>
  <si>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</si>
  <si>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</si>
  <si>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</si>
  <si>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</si>
  <si>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</si>
  <si>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</si>
  <si>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</si>
  <si>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</si>
  <si>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</si>
  <si>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</si>
  <si>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</si>
  <si>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</si>
  <si>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</si>
  <si>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</si>
  <si>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</si>
  <si>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</si>
  <si>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</si>
  <si>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</si>
  <si>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</si>
  <si>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</si>
  <si>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</si>
  <si>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</si>
  <si>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</si>
  <si>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</si>
  <si>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</si>
  <si>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</si>
  <si>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</si>
  <si>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</si>
  <si>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</si>
  <si>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</si>
  <si>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</si>
  <si>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</si>
  <si>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</si>
  <si>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</si>
  <si>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</si>
  <si>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</si>
  <si>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</si>
  <si>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</si>
  <si>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</si>
  <si>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</si>
  <si>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</si>
  <si>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</si>
  <si>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</si>
  <si>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</si>
  <si>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</si>
  <si>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</si>
  <si>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</si>
  <si>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</si>
  <si>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</si>
  <si>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</si>
  <si>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</si>
  <si>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</si>
  <si>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</si>
  <si>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</si>
  <si>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</si>
  <si>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</si>
  <si>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</si>
  <si>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</si>
  <si>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</si>
  <si>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</si>
  <si>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</si>
  <si>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</si>
  <si>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</si>
  <si>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</si>
  <si>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</si>
  <si>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</si>
  <si>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</si>
  <si>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</si>
  <si>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</si>
  <si>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</si>
  <si>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</si>
  <si>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</si>
  <si>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</si>
  <si>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</si>
  <si>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</si>
  <si>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</si>
  <si>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</si>
  <si>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Tshirt</t>
  </si>
  <si>
    <t>Jeans</t>
  </si>
  <si>
    <t>Dress</t>
  </si>
  <si>
    <t>Jacket</t>
  </si>
  <si>
    <t>Sneakers</t>
  </si>
  <si>
    <t>Tops</t>
  </si>
  <si>
    <t>Bottoms</t>
  </si>
  <si>
    <t>Dresses</t>
  </si>
  <si>
    <t>Outwear</t>
  </si>
  <si>
    <t>Footwear</t>
  </si>
  <si>
    <t>Row Labels</t>
  </si>
  <si>
    <t>Grand Total</t>
  </si>
  <si>
    <t>Sum of Revenue</t>
  </si>
  <si>
    <t>Column Labels</t>
  </si>
  <si>
    <t>Project 3 - Key Business Insight</t>
  </si>
  <si>
    <t>1. Product Performance – Jackets Lead Revenue</t>
  </si>
  <si>
    <t>Business Implication: Outerwear should remain a strategic focus for inventory planning and promotional efforts.</t>
  </si>
  <si>
    <t>2. Membership Revenue Distribution – Regular Members Dominate</t>
  </si>
  <si>
    <t>Business Implication: Revenue growth is currently driven by customer volume rather than premium-tier spending.</t>
  </si>
  <si>
    <t>3. Regional Performance – East Region Leads</t>
  </si>
  <si>
    <t>Business Implication: The East region represents a key market for sustained growth and targeted marketing investment.</t>
  </si>
  <si>
    <t>4. Cross-Segment Insight – Regular Members Drive Jacket Sales</t>
  </si>
  <si>
    <t>Business Implication: High-value products are widely purchased across membership tiers, not limited to premium customers.</t>
  </si>
  <si>
    <t>5. Strategic Recommendation</t>
  </si>
  <si>
    <t>Given that Regular members drive both overall revenue and high-value product purchases, the company could improve long-term profitability by strengthening loyalty incentives that encourage upgrades to Silver and Gold membership tiers.</t>
  </si>
  <si>
    <t>Jackets generated the highest total revenue ($139,920), indicating strong demand and higher pricing power compared to other product categories.</t>
  </si>
  <si>
    <t>Regular membership customers generated the highest total revenue ($248,295), outperforming Silver and Gold tiers.</t>
  </si>
  <si>
    <t>The East region recorded the highest revenue contribution ($134,720), outperforming other regions.</t>
  </si>
  <si>
    <t>Regular members contributed the highest share of Jacket purchases ($74,880), surpassing higher-tier membership groups.</t>
  </si>
  <si>
    <t>Total Revenue Generated : $436,030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</si>
</sst>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[Project_3_Customer_Revenue_Intelligence.xlsx]Pivot_Analysis!PivotTable1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Pivot_Analysis!$A$4:$A$9</c:f>
              <c:strCache>
                <c:ptCount val="5"/>
                <c:pt idx="0">
                  <c:v>Dress</c:v>
                </c:pt>
                <c:pt idx="1">
                  <c:v>Jacket</c:v>
                </c:pt>
                <c:pt idx="2">
                  <c:v>Jeans</c:v>
                </c:pt>
                <c:pt idx="3">
                  <c:v>Sneakers</c:v>
                </c:pt>
                <c:pt idx="4">
                  <c:v>Tshirt</c:v>
                </c:pt>
              </c:strCache>
            </c:strRef>
          </c:cat>
          <c:val>
            <c:numRef>
              <c:f>Pivot_Analysis!$B$4:$B$9</c:f>
              <c:numCache>
                <c:formatCode>General</c:formatCode>
                <c:ptCount val="5"/>
                <c:pt idx="0">
                  <c:v>93040</c:v>
                </c:pt>
                <c:pt idx="1">
                  <c:v>139920</c:v>
                </c:pt>
                <c:pt idx="2">
                  <c:v>70440</c:v>
                </c:pt>
                <c:pt idx="3">
                  <c:v>105930</c:v>
                </c:pt>
                <c:pt idx="4">
                  <c:v>26700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2-4D02-8099-DB8AD850C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973840"/>
        <c:axId val="567969160"/>
      </c:barChart>
      <c:catAx>
        <c:axId val="56797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69160"/>
        <c:crosses val="autoZero"/>
        <c:auto val="1"/>
        <c:lblAlgn val="ctr"/>
        <c:lblOffset val="100"/>
        <c:noMultiLvlLbl val="0"/>
      </c:catAx>
      <c:valAx>
        <c:axId val="567969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7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[Project_3_Customer_Revenue_Intelligence.xlsx]Pivot_Analysis!PivotTable2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Membership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Pivot_Analysis!$D$4:$D$7</c:f>
              <c:strCache>
                <c:ptCount val="3"/>
                <c:pt idx="0">
                  <c:v>Gold</c:v>
                </c:pt>
                <c:pt idx="1">
                  <c:v>Regular</c:v>
                </c:pt>
                <c:pt idx="2">
                  <c:v>Silver</c:v>
                </c:pt>
              </c:strCache>
            </c:strRef>
          </c:cat>
          <c:val>
            <c:numRef>
              <c:f>Pivot_Analysis!$E$4:$E$7</c:f>
              <c:numCache>
                <c:formatCode>General</c:formatCode>
                <c:ptCount val="3"/>
                <c:pt idx="0">
                  <c:v>72305</c:v>
                </c:pt>
                <c:pt idx="1">
                  <c:v>248295</c:v>
                </c:pt>
                <c:pt idx="2">
                  <c:v>115430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2-47B1-968D-940692F15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847944"/>
        <c:axId val="567840384"/>
      </c:barChart>
      <c:catAx>
        <c:axId val="56784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840384"/>
        <c:crosses val="autoZero"/>
        <c:auto val="1"/>
        <c:lblAlgn val="ctr"/>
        <c:lblOffset val="100"/>
        <c:noMultiLvlLbl val="0"/>
      </c:catAx>
      <c:valAx>
        <c:axId val="56784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84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[Project_3_Customer_Revenue_Intelligence.xlsx]Pivot_Analysis!PivotTable3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Pivot_Analysis!$G$4:$G$8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Pivot_Analysis!$H$4:$H$8</c:f>
              <c:numCache>
                <c:formatCode>General</c:formatCode>
                <c:ptCount val="4"/>
                <c:pt idx="0">
                  <c:v>134720</c:v>
                </c:pt>
                <c:pt idx="1">
                  <c:v>91905</c:v>
                </c:pt>
                <c:pt idx="2">
                  <c:v>90390</c:v>
                </c:pt>
                <c:pt idx="3">
                  <c:v>119015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E-4644-B9BA-104DA5FFF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972760"/>
        <c:axId val="564625048"/>
      </c:barChart>
      <c:catAx>
        <c:axId val="567972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25048"/>
        <c:crosses val="autoZero"/>
        <c:auto val="1"/>
        <c:lblAlgn val="ctr"/>
        <c:lblOffset val="100"/>
        <c:noMultiLvlLbl val="0"/>
      </c:catAx>
      <c:valAx>
        <c:axId val="56462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7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[Project_3_Customer_Revenue_Intelligence.xlsx]Pivot_Analysis!PivotTable4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vs Membership</a:t>
            </a:r>
            <a:endParaRPr lang="en-US"/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Pivot_Analysis!$K$3:$K$4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Pivot_Analysis!$J$5:$J$10</c:f>
              <c:strCache>
                <c:ptCount val="5"/>
                <c:pt idx="0">
                  <c:v>Dress</c:v>
                </c:pt>
                <c:pt idx="1">
                  <c:v>Jacket</c:v>
                </c:pt>
                <c:pt idx="2">
                  <c:v>Jeans</c:v>
                </c:pt>
                <c:pt idx="3">
                  <c:v>Sneakers</c:v>
                </c:pt>
                <c:pt idx="4">
                  <c:v>Tshirt</c:v>
                </c:pt>
              </c:strCache>
            </c:strRef>
          </c:cat>
          <c:val>
            <c:numRef>
              <c:f>Pivot_Analysis!$K$5:$K$10</c:f>
              <c:numCache>
                <c:formatCode>General</c:formatCode>
                <c:ptCount val="5"/>
                <c:pt idx="0">
                  <c:v>17360</c:v>
                </c:pt>
                <c:pt idx="1">
                  <c:v>25200</c:v>
                </c:pt>
                <c:pt idx="2">
                  <c:v>11040</c:v>
                </c:pt>
                <c:pt idx="3">
                  <c:v>15480</c:v>
                </c:pt>
                <c:pt idx="4">
                  <c:v>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A-43D5-A2B9-F6A901A10425}"/>
            </c:ext>
          </c:extLst>
        </c:ser>
        <c:ser>
          <c:idx val="1"/>
          <c:order val="1"/>
          <c:tx>
            <c:strRef>
              <c:f>Pivot_Analysis!$L$3:$L$4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Pivot_Analysis!$J$5:$J$10</c:f>
              <c:strCache>
                <c:ptCount val="5"/>
                <c:pt idx="0">
                  <c:v>Dress</c:v>
                </c:pt>
                <c:pt idx="1">
                  <c:v>Jacket</c:v>
                </c:pt>
                <c:pt idx="2">
                  <c:v>Jeans</c:v>
                </c:pt>
                <c:pt idx="3">
                  <c:v>Sneakers</c:v>
                </c:pt>
                <c:pt idx="4">
                  <c:v>Tshirt</c:v>
                </c:pt>
              </c:strCache>
            </c:strRef>
          </c:cat>
          <c:val>
            <c:numRef>
              <c:f>Pivot_Analysis!$L$5:$L$10</c:f>
              <c:numCache>
                <c:formatCode>General</c:formatCode>
                <c:ptCount val="5"/>
                <c:pt idx="0">
                  <c:v>51760</c:v>
                </c:pt>
                <c:pt idx="1">
                  <c:v>74880</c:v>
                </c:pt>
                <c:pt idx="2">
                  <c:v>41820</c:v>
                </c:pt>
                <c:pt idx="3">
                  <c:v>62010</c:v>
                </c:pt>
                <c:pt idx="4">
                  <c:v>17825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A-43D5-A2B9-F6A901A10425}"/>
            </c:ext>
          </c:extLst>
        </c:ser>
        <c:ser>
          <c:idx val="2"/>
          <c:order val="2"/>
          <c:tx>
            <c:strRef>
              <c:f>Pivot_Analysis!$M$3:$M$4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Pivot_Analysis!$J$5:$J$10</c:f>
              <c:strCache>
                <c:ptCount val="5"/>
                <c:pt idx="0">
                  <c:v>Dress</c:v>
                </c:pt>
                <c:pt idx="1">
                  <c:v>Jacket</c:v>
                </c:pt>
                <c:pt idx="2">
                  <c:v>Jeans</c:v>
                </c:pt>
                <c:pt idx="3">
                  <c:v>Sneakers</c:v>
                </c:pt>
                <c:pt idx="4">
                  <c:v>Tshirt</c:v>
                </c:pt>
              </c:strCache>
            </c:strRef>
          </c:cat>
          <c:val>
            <c:numRef>
              <c:f>Pivot_Analysis!$M$5:$M$10</c:f>
              <c:numCache>
                <c:formatCode>General</c:formatCode>
                <c:ptCount val="5"/>
                <c:pt idx="0">
                  <c:v>23920</c:v>
                </c:pt>
                <c:pt idx="1">
                  <c:v>39840</c:v>
                </c:pt>
                <c:pt idx="2">
                  <c:v>17580</c:v>
                </c:pt>
                <c:pt idx="3">
                  <c:v>28440</c:v>
                </c:pt>
                <c:pt idx="4">
                  <c:v>5650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1A-43D5-A2B9-F6A901A1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414232"/>
        <c:axId val="683846288"/>
      </c:barChart>
      <c:catAx>
        <c:axId val="68941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846288"/>
        <c:crosses val="autoZero"/>
        <c:auto val="1"/>
        <c:lblAlgn val="ctr"/>
        <c:lblOffset val="100"/>
        <c:noMultiLvlLbl val="0"/>
      </c:catAx>
      <c:valAx>
        <c:axId val="68384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1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32656</xdr:colOff>
      <xdr:row>2</xdr:row>
      <xdr:rowOff>131537</xdr:rowOff>
    </xdr:from>
    <xdr:to>
      <xdr:col>8</xdr:col>
      <xdr:colOff>77106</xdr:colOff>
      <xdr:row>16</xdr:row>
      <xdr:rowOff>70758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670F9-0679-4AEB-BCAF-2A69BD082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562429</xdr:colOff>
      <xdr:row>2</xdr:row>
      <xdr:rowOff>172358</xdr:rowOff>
    </xdr:from>
    <xdr:to>
      <xdr:col>16</xdr:col>
      <xdr:colOff>513443</xdr:colOff>
      <xdr:row>16</xdr:row>
      <xdr:rowOff>92529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0D7454-6C94-42C9-AD88-8B4E17E39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553357</xdr:colOff>
      <xdr:row>3</xdr:row>
      <xdr:rowOff>76200</xdr:rowOff>
    </xdr:from>
    <xdr:to>
      <xdr:col>26</xdr:col>
      <xdr:colOff>9071</xdr:colOff>
      <xdr:row>17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8983C9-A8FD-472B-9145-139DE7042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315686</xdr:colOff>
      <xdr:row>19</xdr:row>
      <xdr:rowOff>121557</xdr:rowOff>
    </xdr:from>
    <xdr:to>
      <xdr:col>18</xdr:col>
      <xdr:colOff>239485</xdr:colOff>
      <xdr:row>34</xdr:row>
      <xdr:rowOff>92529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22832A-459B-43B2-A36E-B80A66C5A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73.365287499997" createdVersion="8" refreshedVersion="8" minRefreshableVersion="3" recordCount="1000" xr:uid="{422B27FD-F696-48E2-BC62-FA657DA1C409}">
  <cacheSource type="worksheet">
    <worksheetSource ref="A1:J1001" sheet="Sales_Data"/>
  </cacheSource>
  <cacheFields count="10">
    <cacheField name="Order ID" numFmtId="0">
      <sharedItems/>
    </cacheField>
    <cacheField name="Customer ID" numFmtId="0">
      <sharedItems/>
    </cacheField>
    <cacheField name="Date" numFmtId="14">
      <sharedItems containsSemiMixedTypes="0" containsNonDate="0" containsDate="1" containsString="0" minDate="2025-01-01T00:00:00" maxDate="2026-01-01T00:00:00"/>
    </cacheField>
    <cacheField name="Product" numFmtId="0">
      <sharedItems count="5">
        <s v="Jacket"/>
        <s v="Jeans"/>
        <s v="Sneakers"/>
        <s v="Dress"/>
        <s v="Tshirt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Price" numFmtId="0">
      <sharedItems containsSemiMixedTypes="0" containsString="0" containsNumber="1" containsInteger="1" minValue="25" maxValue="120"/>
    </cacheField>
    <cacheField name="Revenue" numFmtId="0">
      <sharedItems containsSemiMixedTypes="0" containsString="0" containsNumber="1" containsInteger="1" minValue="25" maxValue="1200"/>
    </cacheField>
    <cacheField name="Region" numFmtId="0">
      <sharedItems count="5">
        <s v="East"/>
        <s v="South"/>
        <s v="West"/>
        <s v="North"/>
        <s v="East " u="1"/>
      </sharedItems>
    </cacheField>
    <cacheField name="Membership Type" numFmtId="0">
      <sharedItems count="3">
        <s v="Silver"/>
        <s v="Regular"/>
        <s v="G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1"/>
    <s v="CUST093"/>
    <d v="2025-01-09T00:00:00"/>
    <x v="0"/>
    <s v="Outwear"/>
    <n v="2"/>
    <n v="120"/>
    <n v="240"/>
    <x v="0"/>
    <x v="0"/>
  </r>
  <r>
    <s v="ORD002"/>
    <s v="CUST110"/>
    <d v="2025-01-02T00:00:00"/>
    <x v="0"/>
    <s v="Outwear"/>
    <n v="2"/>
    <n v="120"/>
    <n v="240"/>
    <x v="1"/>
    <x v="1"/>
  </r>
  <r>
    <s v="ORD003"/>
    <s v="CUST088"/>
    <d v="2025-03-29T00:00:00"/>
    <x v="1"/>
    <s v="Bottoms"/>
    <n v="4"/>
    <n v="60"/>
    <n v="240"/>
    <x v="2"/>
    <x v="1"/>
  </r>
  <r>
    <s v="ORD004"/>
    <s v="CUST160"/>
    <d v="2025-10-23T00:00:00"/>
    <x v="2"/>
    <s v="Footwear"/>
    <n v="6"/>
    <n v="90"/>
    <n v="540"/>
    <x v="2"/>
    <x v="2"/>
  </r>
  <r>
    <s v="ORD005"/>
    <s v="CUST174"/>
    <d v="2025-11-24T00:00:00"/>
    <x v="1"/>
    <s v="Bottoms"/>
    <n v="2"/>
    <n v="60"/>
    <n v="120"/>
    <x v="0"/>
    <x v="0"/>
  </r>
  <r>
    <s v="ORD006"/>
    <s v="CUST059"/>
    <d v="2025-05-30T00:00:00"/>
    <x v="3"/>
    <s v="Dresses"/>
    <n v="8"/>
    <n v="80"/>
    <n v="640"/>
    <x v="0"/>
    <x v="2"/>
  </r>
  <r>
    <s v="ORD007"/>
    <s v="CUST155"/>
    <d v="2025-10-21T00:00:00"/>
    <x v="3"/>
    <s v="Dresses"/>
    <n v="5"/>
    <n v="80"/>
    <n v="400"/>
    <x v="1"/>
    <x v="0"/>
  </r>
  <r>
    <s v="ORD008"/>
    <s v="CUST163"/>
    <d v="2025-10-01T00:00:00"/>
    <x v="0"/>
    <s v="Outwear"/>
    <n v="3"/>
    <n v="120"/>
    <n v="360"/>
    <x v="0"/>
    <x v="1"/>
  </r>
  <r>
    <s v="ORD009"/>
    <s v="CUST102"/>
    <d v="2025-04-18T00:00:00"/>
    <x v="2"/>
    <s v="Footwear"/>
    <n v="4"/>
    <n v="90"/>
    <n v="360"/>
    <x v="2"/>
    <x v="1"/>
  </r>
  <r>
    <s v="ORD010"/>
    <s v="CUST148"/>
    <d v="2025-10-21T00:00:00"/>
    <x v="1"/>
    <s v="Bottoms"/>
    <n v="7"/>
    <n v="60"/>
    <n v="420"/>
    <x v="1"/>
    <x v="1"/>
  </r>
  <r>
    <s v="ORD011"/>
    <s v="CUST101"/>
    <d v="2025-09-22T00:00:00"/>
    <x v="4"/>
    <s v="Tops"/>
    <n v="9"/>
    <n v="25"/>
    <n v="225"/>
    <x v="1"/>
    <x v="1"/>
  </r>
  <r>
    <s v="ORD012"/>
    <s v="CUST051"/>
    <d v="2025-10-23T00:00:00"/>
    <x v="4"/>
    <s v="Tops"/>
    <n v="7"/>
    <n v="25"/>
    <n v="175"/>
    <x v="0"/>
    <x v="1"/>
  </r>
  <r>
    <s v="ORD013"/>
    <s v="CUST106"/>
    <d v="2025-09-02T00:00:00"/>
    <x v="2"/>
    <s v="Footwear"/>
    <n v="3"/>
    <n v="90"/>
    <n v="270"/>
    <x v="1"/>
    <x v="1"/>
  </r>
  <r>
    <s v="ORD014"/>
    <s v="CUST150"/>
    <d v="2025-12-15T00:00:00"/>
    <x v="2"/>
    <s v="Footwear"/>
    <n v="10"/>
    <n v="90"/>
    <n v="900"/>
    <x v="2"/>
    <x v="1"/>
  </r>
  <r>
    <s v="ORD015"/>
    <s v="CUST054"/>
    <d v="2025-09-23T00:00:00"/>
    <x v="1"/>
    <s v="Bottoms"/>
    <n v="6"/>
    <n v="60"/>
    <n v="360"/>
    <x v="1"/>
    <x v="0"/>
  </r>
  <r>
    <s v="ORD016"/>
    <s v="CUST141"/>
    <d v="2025-03-01T00:00:00"/>
    <x v="4"/>
    <s v="Tops"/>
    <n v="5"/>
    <n v="25"/>
    <n v="125"/>
    <x v="2"/>
    <x v="1"/>
  </r>
  <r>
    <s v="ORD017"/>
    <s v="CUST176"/>
    <d v="2025-12-31T00:00:00"/>
    <x v="4"/>
    <s v="Tops"/>
    <n v="4"/>
    <n v="25"/>
    <n v="100"/>
    <x v="2"/>
    <x v="0"/>
  </r>
  <r>
    <s v="ORD018"/>
    <s v="CUST055"/>
    <d v="2025-09-12T00:00:00"/>
    <x v="3"/>
    <s v="Dresses"/>
    <n v="5"/>
    <n v="80"/>
    <n v="400"/>
    <x v="2"/>
    <x v="0"/>
  </r>
  <r>
    <s v="ORD019"/>
    <s v="CUST050"/>
    <d v="2025-12-01T00:00:00"/>
    <x v="0"/>
    <s v="Outwear"/>
    <n v="10"/>
    <n v="120"/>
    <n v="1200"/>
    <x v="2"/>
    <x v="1"/>
  </r>
  <r>
    <s v="ORD020"/>
    <s v="CUST012"/>
    <d v="2025-08-16T00:00:00"/>
    <x v="0"/>
    <s v="Outwear"/>
    <n v="10"/>
    <n v="120"/>
    <n v="1200"/>
    <x v="0"/>
    <x v="1"/>
  </r>
  <r>
    <s v="ORD021"/>
    <s v="CUST087"/>
    <d v="2025-07-15T00:00:00"/>
    <x v="4"/>
    <s v="Tops"/>
    <n v="9"/>
    <n v="25"/>
    <n v="225"/>
    <x v="2"/>
    <x v="1"/>
  </r>
  <r>
    <s v="ORD022"/>
    <s v="CUST058"/>
    <d v="2025-08-09T00:00:00"/>
    <x v="1"/>
    <s v="Bottoms"/>
    <n v="5"/>
    <n v="60"/>
    <n v="300"/>
    <x v="0"/>
    <x v="2"/>
  </r>
  <r>
    <s v="ORD023"/>
    <s v="CUST038"/>
    <d v="2025-05-14T00:00:00"/>
    <x v="2"/>
    <s v="Footwear"/>
    <n v="5"/>
    <n v="90"/>
    <n v="450"/>
    <x v="0"/>
    <x v="2"/>
  </r>
  <r>
    <s v="ORD024"/>
    <s v="CUST066"/>
    <d v="2025-11-29T00:00:00"/>
    <x v="2"/>
    <s v="Footwear"/>
    <n v="9"/>
    <n v="90"/>
    <n v="810"/>
    <x v="0"/>
    <x v="1"/>
  </r>
  <r>
    <s v="ORD025"/>
    <s v="CUST006"/>
    <d v="2025-09-04T00:00:00"/>
    <x v="4"/>
    <s v="Tops"/>
    <n v="9"/>
    <n v="25"/>
    <n v="225"/>
    <x v="2"/>
    <x v="1"/>
  </r>
  <r>
    <s v="ORD026"/>
    <s v="CUST179"/>
    <d v="2025-07-14T00:00:00"/>
    <x v="3"/>
    <s v="Dresses"/>
    <n v="8"/>
    <n v="80"/>
    <n v="640"/>
    <x v="3"/>
    <x v="2"/>
  </r>
  <r>
    <s v="ORD027"/>
    <s v="CUST088"/>
    <d v="2025-10-13T00:00:00"/>
    <x v="4"/>
    <s v="Tops"/>
    <n v="4"/>
    <n v="25"/>
    <n v="100"/>
    <x v="2"/>
    <x v="1"/>
  </r>
  <r>
    <s v="ORD028"/>
    <s v="CUST072"/>
    <d v="2025-09-07T00:00:00"/>
    <x v="1"/>
    <s v="Bottoms"/>
    <n v="3"/>
    <n v="60"/>
    <n v="180"/>
    <x v="2"/>
    <x v="1"/>
  </r>
  <r>
    <s v="ORD029"/>
    <s v="CUST116"/>
    <d v="2025-09-28T00:00:00"/>
    <x v="3"/>
    <s v="Dresses"/>
    <n v="3"/>
    <n v="80"/>
    <n v="240"/>
    <x v="3"/>
    <x v="0"/>
  </r>
  <r>
    <s v="ORD030"/>
    <s v="CUST131"/>
    <d v="2025-07-28T00:00:00"/>
    <x v="3"/>
    <s v="Dresses"/>
    <n v="1"/>
    <n v="80"/>
    <n v="80"/>
    <x v="3"/>
    <x v="1"/>
  </r>
  <r>
    <s v="ORD031"/>
    <s v="CUST003"/>
    <d v="2025-07-21T00:00:00"/>
    <x v="2"/>
    <s v="Footwear"/>
    <n v="4"/>
    <n v="90"/>
    <n v="360"/>
    <x v="0"/>
    <x v="1"/>
  </r>
  <r>
    <s v="ORD032"/>
    <s v="CUST092"/>
    <d v="2025-09-16T00:00:00"/>
    <x v="0"/>
    <s v="Outwear"/>
    <n v="2"/>
    <n v="120"/>
    <n v="240"/>
    <x v="2"/>
    <x v="1"/>
  </r>
  <r>
    <s v="ORD033"/>
    <s v="CUST186"/>
    <d v="2025-06-21T00:00:00"/>
    <x v="4"/>
    <s v="Tops"/>
    <n v="1"/>
    <n v="25"/>
    <n v="25"/>
    <x v="2"/>
    <x v="1"/>
  </r>
  <r>
    <s v="ORD034"/>
    <s v="CUST029"/>
    <d v="2025-04-27T00:00:00"/>
    <x v="3"/>
    <s v="Dresses"/>
    <n v="8"/>
    <n v="80"/>
    <n v="640"/>
    <x v="2"/>
    <x v="1"/>
  </r>
  <r>
    <s v="ORD035"/>
    <s v="CUST018"/>
    <d v="2025-09-08T00:00:00"/>
    <x v="0"/>
    <s v="Outwear"/>
    <n v="8"/>
    <n v="120"/>
    <n v="960"/>
    <x v="3"/>
    <x v="2"/>
  </r>
  <r>
    <s v="ORD036"/>
    <s v="CUST120"/>
    <d v="2025-11-29T00:00:00"/>
    <x v="1"/>
    <s v="Bottoms"/>
    <n v="9"/>
    <n v="60"/>
    <n v="540"/>
    <x v="3"/>
    <x v="2"/>
  </r>
  <r>
    <s v="ORD037"/>
    <s v="CUST189"/>
    <d v="2025-11-28T00:00:00"/>
    <x v="3"/>
    <s v="Dresses"/>
    <n v="9"/>
    <n v="80"/>
    <n v="720"/>
    <x v="1"/>
    <x v="1"/>
  </r>
  <r>
    <s v="ORD038"/>
    <s v="CUST162"/>
    <d v="2025-07-12T00:00:00"/>
    <x v="3"/>
    <s v="Dresses"/>
    <n v="7"/>
    <n v="80"/>
    <n v="560"/>
    <x v="3"/>
    <x v="1"/>
  </r>
  <r>
    <s v="ORD039"/>
    <s v="CUST193"/>
    <d v="2025-06-22T00:00:00"/>
    <x v="1"/>
    <s v="Bottoms"/>
    <n v="4"/>
    <n v="60"/>
    <n v="240"/>
    <x v="2"/>
    <x v="0"/>
  </r>
  <r>
    <s v="ORD040"/>
    <s v="CUST130"/>
    <d v="2025-09-10T00:00:00"/>
    <x v="2"/>
    <s v="Footwear"/>
    <n v="4"/>
    <n v="90"/>
    <n v="360"/>
    <x v="1"/>
    <x v="1"/>
  </r>
  <r>
    <s v="ORD041"/>
    <s v="CUST105"/>
    <d v="2025-02-06T00:00:00"/>
    <x v="1"/>
    <s v="Bottoms"/>
    <n v="8"/>
    <n v="60"/>
    <n v="480"/>
    <x v="1"/>
    <x v="1"/>
  </r>
  <r>
    <s v="ORD042"/>
    <s v="CUST151"/>
    <d v="2025-02-23T00:00:00"/>
    <x v="0"/>
    <s v="Outwear"/>
    <n v="3"/>
    <n v="120"/>
    <n v="360"/>
    <x v="1"/>
    <x v="1"/>
  </r>
  <r>
    <s v="ORD043"/>
    <s v="CUST175"/>
    <d v="2025-04-26T00:00:00"/>
    <x v="4"/>
    <s v="Tops"/>
    <n v="3"/>
    <n v="25"/>
    <n v="75"/>
    <x v="0"/>
    <x v="0"/>
  </r>
  <r>
    <s v="ORD044"/>
    <s v="CUST150"/>
    <d v="2025-08-07T00:00:00"/>
    <x v="2"/>
    <s v="Footwear"/>
    <n v="9"/>
    <n v="90"/>
    <n v="810"/>
    <x v="3"/>
    <x v="1"/>
  </r>
  <r>
    <s v="ORD045"/>
    <s v="CUST160"/>
    <d v="2025-10-06T00:00:00"/>
    <x v="0"/>
    <s v="Outwear"/>
    <n v="8"/>
    <n v="120"/>
    <n v="960"/>
    <x v="2"/>
    <x v="2"/>
  </r>
  <r>
    <s v="ORD046"/>
    <s v="CUST120"/>
    <d v="2025-09-20T00:00:00"/>
    <x v="3"/>
    <s v="Dresses"/>
    <n v="6"/>
    <n v="80"/>
    <n v="480"/>
    <x v="2"/>
    <x v="2"/>
  </r>
  <r>
    <s v="ORD047"/>
    <s v="CUST054"/>
    <d v="2025-03-11T00:00:00"/>
    <x v="2"/>
    <s v="Footwear"/>
    <n v="7"/>
    <n v="90"/>
    <n v="630"/>
    <x v="0"/>
    <x v="0"/>
  </r>
  <r>
    <s v="ORD048"/>
    <s v="CUST155"/>
    <d v="2025-04-24T00:00:00"/>
    <x v="1"/>
    <s v="Bottoms"/>
    <n v="7"/>
    <n v="60"/>
    <n v="420"/>
    <x v="2"/>
    <x v="0"/>
  </r>
  <r>
    <s v="ORD049"/>
    <s v="CUST061"/>
    <d v="2025-07-09T00:00:00"/>
    <x v="2"/>
    <s v="Footwear"/>
    <n v="10"/>
    <n v="90"/>
    <n v="900"/>
    <x v="2"/>
    <x v="1"/>
  </r>
  <r>
    <s v="ORD050"/>
    <s v="CUST076"/>
    <d v="2025-04-09T00:00:00"/>
    <x v="0"/>
    <s v="Outwear"/>
    <n v="7"/>
    <n v="120"/>
    <n v="840"/>
    <x v="2"/>
    <x v="0"/>
  </r>
  <r>
    <s v="ORD051"/>
    <s v="CUST199"/>
    <d v="2025-05-15T00:00:00"/>
    <x v="4"/>
    <s v="Tops"/>
    <n v="9"/>
    <n v="25"/>
    <n v="225"/>
    <x v="2"/>
    <x v="2"/>
  </r>
  <r>
    <s v="ORD052"/>
    <s v="CUST062"/>
    <d v="2025-02-19T00:00:00"/>
    <x v="1"/>
    <s v="Bottoms"/>
    <n v="5"/>
    <n v="60"/>
    <n v="300"/>
    <x v="0"/>
    <x v="1"/>
  </r>
  <r>
    <s v="ORD053"/>
    <s v="CUST051"/>
    <d v="2025-03-09T00:00:00"/>
    <x v="2"/>
    <s v="Footwear"/>
    <n v="4"/>
    <n v="90"/>
    <n v="360"/>
    <x v="0"/>
    <x v="1"/>
  </r>
  <r>
    <s v="ORD054"/>
    <s v="CUST046"/>
    <d v="2025-10-25T00:00:00"/>
    <x v="3"/>
    <s v="Dresses"/>
    <n v="3"/>
    <n v="80"/>
    <n v="240"/>
    <x v="2"/>
    <x v="1"/>
  </r>
  <r>
    <s v="ORD055"/>
    <s v="CUST083"/>
    <d v="2025-04-14T00:00:00"/>
    <x v="4"/>
    <s v="Tops"/>
    <n v="5"/>
    <n v="25"/>
    <n v="125"/>
    <x v="2"/>
    <x v="1"/>
  </r>
  <r>
    <s v="ORD056"/>
    <s v="CUST173"/>
    <d v="2025-03-27T00:00:00"/>
    <x v="3"/>
    <s v="Dresses"/>
    <n v="7"/>
    <n v="80"/>
    <n v="560"/>
    <x v="0"/>
    <x v="0"/>
  </r>
  <r>
    <s v="ORD057"/>
    <s v="CUST162"/>
    <d v="2025-05-18T00:00:00"/>
    <x v="0"/>
    <s v="Outwear"/>
    <n v="7"/>
    <n v="120"/>
    <n v="840"/>
    <x v="3"/>
    <x v="1"/>
  </r>
  <r>
    <s v="ORD058"/>
    <s v="CUST147"/>
    <d v="2025-10-02T00:00:00"/>
    <x v="4"/>
    <s v="Tops"/>
    <n v="6"/>
    <n v="25"/>
    <n v="150"/>
    <x v="0"/>
    <x v="1"/>
  </r>
  <r>
    <s v="ORD059"/>
    <s v="CUST049"/>
    <d v="2025-09-15T00:00:00"/>
    <x v="3"/>
    <s v="Dresses"/>
    <n v="8"/>
    <n v="80"/>
    <n v="640"/>
    <x v="1"/>
    <x v="1"/>
  </r>
  <r>
    <s v="ORD060"/>
    <s v="CUST141"/>
    <d v="2025-08-19T00:00:00"/>
    <x v="1"/>
    <s v="Bottoms"/>
    <n v="1"/>
    <n v="60"/>
    <n v="60"/>
    <x v="0"/>
    <x v="1"/>
  </r>
  <r>
    <s v="ORD061"/>
    <s v="CUST028"/>
    <d v="2025-09-23T00:00:00"/>
    <x v="0"/>
    <s v="Outwear"/>
    <n v="7"/>
    <n v="120"/>
    <n v="840"/>
    <x v="3"/>
    <x v="1"/>
  </r>
  <r>
    <s v="ORD062"/>
    <s v="CUST116"/>
    <d v="2025-12-04T00:00:00"/>
    <x v="2"/>
    <s v="Footwear"/>
    <n v="9"/>
    <n v="90"/>
    <n v="810"/>
    <x v="0"/>
    <x v="0"/>
  </r>
  <r>
    <s v="ORD063"/>
    <s v="CUST147"/>
    <d v="2025-01-02T00:00:00"/>
    <x v="3"/>
    <s v="Dresses"/>
    <n v="5"/>
    <n v="80"/>
    <n v="400"/>
    <x v="0"/>
    <x v="1"/>
  </r>
  <r>
    <s v="ORD064"/>
    <s v="CUST194"/>
    <d v="2025-09-07T00:00:00"/>
    <x v="4"/>
    <s v="Tops"/>
    <n v="3"/>
    <n v="25"/>
    <n v="75"/>
    <x v="1"/>
    <x v="0"/>
  </r>
  <r>
    <s v="ORD065"/>
    <s v="CUST176"/>
    <d v="2025-07-14T00:00:00"/>
    <x v="2"/>
    <s v="Footwear"/>
    <n v="3"/>
    <n v="90"/>
    <n v="270"/>
    <x v="2"/>
    <x v="0"/>
  </r>
  <r>
    <s v="ORD066"/>
    <s v="CUST013"/>
    <d v="2025-09-11T00:00:00"/>
    <x v="1"/>
    <s v="Bottoms"/>
    <n v="5"/>
    <n v="60"/>
    <n v="300"/>
    <x v="0"/>
    <x v="0"/>
  </r>
  <r>
    <s v="ORD067"/>
    <s v="CUST043"/>
    <d v="2025-04-23T00:00:00"/>
    <x v="4"/>
    <s v="Tops"/>
    <n v="1"/>
    <n v="25"/>
    <n v="25"/>
    <x v="3"/>
    <x v="1"/>
  </r>
  <r>
    <s v="ORD068"/>
    <s v="CUST010"/>
    <d v="2025-09-16T00:00:00"/>
    <x v="3"/>
    <s v="Dresses"/>
    <n v="2"/>
    <n v="80"/>
    <n v="160"/>
    <x v="3"/>
    <x v="1"/>
  </r>
  <r>
    <s v="ORD069"/>
    <s v="CUST038"/>
    <d v="2025-12-17T00:00:00"/>
    <x v="4"/>
    <s v="Tops"/>
    <n v="1"/>
    <n v="25"/>
    <n v="25"/>
    <x v="3"/>
    <x v="2"/>
  </r>
  <r>
    <s v="ORD070"/>
    <s v="CUST020"/>
    <d v="2025-07-11T00:00:00"/>
    <x v="2"/>
    <s v="Footwear"/>
    <n v="5"/>
    <n v="90"/>
    <n v="450"/>
    <x v="0"/>
    <x v="2"/>
  </r>
  <r>
    <s v="ORD071"/>
    <s v="CUST183"/>
    <d v="2025-10-21T00:00:00"/>
    <x v="4"/>
    <s v="Tops"/>
    <n v="10"/>
    <n v="25"/>
    <n v="250"/>
    <x v="3"/>
    <x v="1"/>
  </r>
  <r>
    <s v="ORD072"/>
    <s v="CUST190"/>
    <d v="2025-09-12T00:00:00"/>
    <x v="2"/>
    <s v="Footwear"/>
    <n v="3"/>
    <n v="90"/>
    <n v="270"/>
    <x v="0"/>
    <x v="1"/>
  </r>
  <r>
    <s v="ORD073"/>
    <s v="CUST104"/>
    <d v="2025-06-13T00:00:00"/>
    <x v="0"/>
    <s v="Outwear"/>
    <n v="9"/>
    <n v="120"/>
    <n v="1080"/>
    <x v="0"/>
    <x v="1"/>
  </r>
  <r>
    <s v="ORD074"/>
    <s v="CUST109"/>
    <d v="2025-01-11T00:00:00"/>
    <x v="2"/>
    <s v="Footwear"/>
    <n v="6"/>
    <n v="90"/>
    <n v="540"/>
    <x v="3"/>
    <x v="1"/>
  </r>
  <r>
    <s v="ORD075"/>
    <s v="CUST138"/>
    <d v="2025-11-17T00:00:00"/>
    <x v="2"/>
    <s v="Footwear"/>
    <n v="10"/>
    <n v="90"/>
    <n v="900"/>
    <x v="0"/>
    <x v="2"/>
  </r>
  <r>
    <s v="ORD076"/>
    <s v="CUST061"/>
    <d v="2025-01-01T00:00:00"/>
    <x v="4"/>
    <s v="Tops"/>
    <n v="4"/>
    <n v="25"/>
    <n v="100"/>
    <x v="3"/>
    <x v="1"/>
  </r>
  <r>
    <s v="ORD077"/>
    <s v="CUST118"/>
    <d v="2025-05-22T00:00:00"/>
    <x v="3"/>
    <s v="Dresses"/>
    <n v="1"/>
    <n v="80"/>
    <n v="80"/>
    <x v="0"/>
    <x v="2"/>
  </r>
  <r>
    <s v="ORD078"/>
    <s v="CUST042"/>
    <d v="2025-11-17T00:00:00"/>
    <x v="2"/>
    <s v="Footwear"/>
    <n v="7"/>
    <n v="90"/>
    <n v="630"/>
    <x v="0"/>
    <x v="1"/>
  </r>
  <r>
    <s v="ORD079"/>
    <s v="CUST198"/>
    <d v="2025-12-16T00:00:00"/>
    <x v="3"/>
    <s v="Dresses"/>
    <n v="6"/>
    <n v="80"/>
    <n v="480"/>
    <x v="3"/>
    <x v="2"/>
  </r>
  <r>
    <s v="ORD080"/>
    <s v="CUST184"/>
    <d v="2025-01-23T00:00:00"/>
    <x v="1"/>
    <s v="Bottoms"/>
    <n v="6"/>
    <n v="60"/>
    <n v="360"/>
    <x v="0"/>
    <x v="1"/>
  </r>
  <r>
    <s v="ORD081"/>
    <s v="CUST020"/>
    <d v="2025-04-26T00:00:00"/>
    <x v="0"/>
    <s v="Outwear"/>
    <n v="5"/>
    <n v="120"/>
    <n v="600"/>
    <x v="2"/>
    <x v="2"/>
  </r>
  <r>
    <s v="ORD082"/>
    <s v="CUST169"/>
    <d v="2025-08-31T00:00:00"/>
    <x v="1"/>
    <s v="Bottoms"/>
    <n v="7"/>
    <n v="60"/>
    <n v="420"/>
    <x v="2"/>
    <x v="1"/>
  </r>
  <r>
    <s v="ORD083"/>
    <s v="CUST071"/>
    <d v="2025-07-28T00:00:00"/>
    <x v="3"/>
    <s v="Dresses"/>
    <n v="4"/>
    <n v="80"/>
    <n v="320"/>
    <x v="0"/>
    <x v="1"/>
  </r>
  <r>
    <s v="ORD084"/>
    <s v="CUST138"/>
    <d v="2025-12-22T00:00:00"/>
    <x v="4"/>
    <s v="Tops"/>
    <n v="3"/>
    <n v="25"/>
    <n v="75"/>
    <x v="0"/>
    <x v="2"/>
  </r>
  <r>
    <s v="ORD085"/>
    <s v="CUST166"/>
    <d v="2025-07-16T00:00:00"/>
    <x v="2"/>
    <s v="Footwear"/>
    <n v="6"/>
    <n v="90"/>
    <n v="540"/>
    <x v="2"/>
    <x v="1"/>
  </r>
  <r>
    <s v="ORD086"/>
    <s v="CUST135"/>
    <d v="2025-08-29T00:00:00"/>
    <x v="0"/>
    <s v="Outwear"/>
    <n v="2"/>
    <n v="120"/>
    <n v="240"/>
    <x v="2"/>
    <x v="0"/>
  </r>
  <r>
    <s v="ORD087"/>
    <s v="CUST138"/>
    <d v="2025-01-07T00:00:00"/>
    <x v="3"/>
    <s v="Dresses"/>
    <n v="3"/>
    <n v="80"/>
    <n v="240"/>
    <x v="2"/>
    <x v="2"/>
  </r>
  <r>
    <s v="ORD088"/>
    <s v="CUST158"/>
    <d v="2025-08-31T00:00:00"/>
    <x v="2"/>
    <s v="Footwear"/>
    <n v="7"/>
    <n v="90"/>
    <n v="630"/>
    <x v="3"/>
    <x v="2"/>
  </r>
  <r>
    <s v="ORD089"/>
    <s v="CUST006"/>
    <d v="2025-06-06T00:00:00"/>
    <x v="2"/>
    <s v="Footwear"/>
    <n v="8"/>
    <n v="90"/>
    <n v="720"/>
    <x v="1"/>
    <x v="1"/>
  </r>
  <r>
    <s v="ORD090"/>
    <s v="CUST164"/>
    <d v="2025-11-03T00:00:00"/>
    <x v="1"/>
    <s v="Bottoms"/>
    <n v="10"/>
    <n v="60"/>
    <n v="600"/>
    <x v="2"/>
    <x v="1"/>
  </r>
  <r>
    <s v="ORD091"/>
    <s v="CUST015"/>
    <d v="2025-06-09T00:00:00"/>
    <x v="4"/>
    <s v="Tops"/>
    <n v="3"/>
    <n v="25"/>
    <n v="75"/>
    <x v="0"/>
    <x v="0"/>
  </r>
  <r>
    <s v="ORD092"/>
    <s v="CUST001"/>
    <d v="2025-11-28T00:00:00"/>
    <x v="2"/>
    <s v="Footwear"/>
    <n v="10"/>
    <n v="90"/>
    <n v="900"/>
    <x v="1"/>
    <x v="1"/>
  </r>
  <r>
    <s v="ORD093"/>
    <s v="CUST122"/>
    <d v="2025-04-23T00:00:00"/>
    <x v="4"/>
    <s v="Tops"/>
    <n v="3"/>
    <n v="25"/>
    <n v="75"/>
    <x v="0"/>
    <x v="1"/>
  </r>
  <r>
    <s v="ORD094"/>
    <s v="CUST015"/>
    <d v="2025-01-04T00:00:00"/>
    <x v="1"/>
    <s v="Bottoms"/>
    <n v="7"/>
    <n v="60"/>
    <n v="420"/>
    <x v="2"/>
    <x v="0"/>
  </r>
  <r>
    <s v="ORD095"/>
    <s v="CUST129"/>
    <d v="2025-12-12T00:00:00"/>
    <x v="1"/>
    <s v="Bottoms"/>
    <n v="1"/>
    <n v="60"/>
    <n v="60"/>
    <x v="2"/>
    <x v="1"/>
  </r>
  <r>
    <s v="ORD096"/>
    <s v="CUST094"/>
    <d v="2025-08-07T00:00:00"/>
    <x v="1"/>
    <s v="Bottoms"/>
    <n v="3"/>
    <n v="60"/>
    <n v="180"/>
    <x v="1"/>
    <x v="0"/>
  </r>
  <r>
    <s v="ORD097"/>
    <s v="CUST001"/>
    <d v="2025-05-25T00:00:00"/>
    <x v="3"/>
    <s v="Dresses"/>
    <n v="3"/>
    <n v="80"/>
    <n v="240"/>
    <x v="1"/>
    <x v="1"/>
  </r>
  <r>
    <s v="ORD098"/>
    <s v="CUST139"/>
    <d v="2025-03-27T00:00:00"/>
    <x v="1"/>
    <s v="Bottoms"/>
    <n v="3"/>
    <n v="60"/>
    <n v="180"/>
    <x v="2"/>
    <x v="2"/>
  </r>
  <r>
    <s v="ORD099"/>
    <s v="CUST100"/>
    <d v="2025-04-08T00:00:00"/>
    <x v="0"/>
    <s v="Outwear"/>
    <n v="6"/>
    <n v="120"/>
    <n v="720"/>
    <x v="2"/>
    <x v="2"/>
  </r>
  <r>
    <s v="ORD100"/>
    <s v="CUST059"/>
    <d v="2025-10-07T00:00:00"/>
    <x v="4"/>
    <s v="Tops"/>
    <n v="1"/>
    <n v="25"/>
    <n v="25"/>
    <x v="0"/>
    <x v="2"/>
  </r>
  <r>
    <s v="ORD101"/>
    <s v="CUST066"/>
    <d v="2025-04-03T00:00:00"/>
    <x v="4"/>
    <s v="Tops"/>
    <n v="3"/>
    <n v="25"/>
    <n v="75"/>
    <x v="0"/>
    <x v="1"/>
  </r>
  <r>
    <s v="ORD102"/>
    <s v="CUST171"/>
    <d v="2025-07-24T00:00:00"/>
    <x v="3"/>
    <s v="Dresses"/>
    <n v="2"/>
    <n v="80"/>
    <n v="160"/>
    <x v="0"/>
    <x v="1"/>
  </r>
  <r>
    <s v="ORD103"/>
    <s v="CUST089"/>
    <d v="2025-12-24T00:00:00"/>
    <x v="2"/>
    <s v="Footwear"/>
    <n v="6"/>
    <n v="90"/>
    <n v="540"/>
    <x v="0"/>
    <x v="1"/>
  </r>
  <r>
    <s v="ORD104"/>
    <s v="CUST043"/>
    <d v="2025-06-08T00:00:00"/>
    <x v="1"/>
    <s v="Bottoms"/>
    <n v="10"/>
    <n v="60"/>
    <n v="600"/>
    <x v="2"/>
    <x v="1"/>
  </r>
  <r>
    <s v="ORD105"/>
    <s v="CUST119"/>
    <d v="2025-01-23T00:00:00"/>
    <x v="1"/>
    <s v="Bottoms"/>
    <n v="9"/>
    <n v="60"/>
    <n v="540"/>
    <x v="3"/>
    <x v="2"/>
  </r>
  <r>
    <s v="ORD106"/>
    <s v="CUST197"/>
    <d v="2025-12-06T00:00:00"/>
    <x v="0"/>
    <s v="Outwear"/>
    <n v="3"/>
    <n v="120"/>
    <n v="360"/>
    <x v="0"/>
    <x v="0"/>
  </r>
  <r>
    <s v="ORD107"/>
    <s v="CUST001"/>
    <d v="2025-04-16T00:00:00"/>
    <x v="0"/>
    <s v="Outwear"/>
    <n v="7"/>
    <n v="120"/>
    <n v="840"/>
    <x v="3"/>
    <x v="1"/>
  </r>
  <r>
    <s v="ORD108"/>
    <s v="CUST098"/>
    <d v="2025-07-06T00:00:00"/>
    <x v="0"/>
    <s v="Outwear"/>
    <n v="4"/>
    <n v="120"/>
    <n v="480"/>
    <x v="2"/>
    <x v="2"/>
  </r>
  <r>
    <s v="ORD109"/>
    <s v="CUST198"/>
    <d v="2025-03-23T00:00:00"/>
    <x v="0"/>
    <s v="Outwear"/>
    <n v="1"/>
    <n v="120"/>
    <n v="120"/>
    <x v="0"/>
    <x v="2"/>
  </r>
  <r>
    <s v="ORD110"/>
    <s v="CUST106"/>
    <d v="2025-11-03T00:00:00"/>
    <x v="4"/>
    <s v="Tops"/>
    <n v="3"/>
    <n v="25"/>
    <n v="75"/>
    <x v="3"/>
    <x v="1"/>
  </r>
  <r>
    <s v="ORD111"/>
    <s v="CUST159"/>
    <d v="2025-11-01T00:00:00"/>
    <x v="3"/>
    <s v="Dresses"/>
    <n v="1"/>
    <n v="80"/>
    <n v="80"/>
    <x v="0"/>
    <x v="2"/>
  </r>
  <r>
    <s v="ORD112"/>
    <s v="CUST156"/>
    <d v="2025-11-20T00:00:00"/>
    <x v="1"/>
    <s v="Bottoms"/>
    <n v="9"/>
    <n v="60"/>
    <n v="540"/>
    <x v="2"/>
    <x v="0"/>
  </r>
  <r>
    <s v="ORD113"/>
    <s v="CUST013"/>
    <d v="2025-08-09T00:00:00"/>
    <x v="1"/>
    <s v="Bottoms"/>
    <n v="10"/>
    <n v="60"/>
    <n v="600"/>
    <x v="2"/>
    <x v="0"/>
  </r>
  <r>
    <s v="ORD114"/>
    <s v="CUST056"/>
    <d v="2025-09-17T00:00:00"/>
    <x v="3"/>
    <s v="Dresses"/>
    <n v="8"/>
    <n v="80"/>
    <n v="640"/>
    <x v="2"/>
    <x v="0"/>
  </r>
  <r>
    <s v="ORD115"/>
    <s v="CUST159"/>
    <d v="2025-06-22T00:00:00"/>
    <x v="2"/>
    <s v="Footwear"/>
    <n v="4"/>
    <n v="90"/>
    <n v="360"/>
    <x v="2"/>
    <x v="2"/>
  </r>
  <r>
    <s v="ORD116"/>
    <s v="CUST171"/>
    <d v="2025-07-21T00:00:00"/>
    <x v="3"/>
    <s v="Dresses"/>
    <n v="2"/>
    <n v="80"/>
    <n v="160"/>
    <x v="0"/>
    <x v="1"/>
  </r>
  <r>
    <s v="ORD117"/>
    <s v="CUST067"/>
    <d v="2025-03-21T00:00:00"/>
    <x v="4"/>
    <s v="Tops"/>
    <n v="7"/>
    <n v="25"/>
    <n v="175"/>
    <x v="1"/>
    <x v="1"/>
  </r>
  <r>
    <s v="ORD118"/>
    <s v="CUST174"/>
    <d v="2025-12-14T00:00:00"/>
    <x v="2"/>
    <s v="Footwear"/>
    <n v="10"/>
    <n v="90"/>
    <n v="900"/>
    <x v="3"/>
    <x v="0"/>
  </r>
  <r>
    <s v="ORD119"/>
    <s v="CUST048"/>
    <d v="2025-01-08T00:00:00"/>
    <x v="4"/>
    <s v="Tops"/>
    <n v="1"/>
    <n v="25"/>
    <n v="25"/>
    <x v="3"/>
    <x v="1"/>
  </r>
  <r>
    <s v="ORD120"/>
    <s v="CUST007"/>
    <d v="2025-12-15T00:00:00"/>
    <x v="1"/>
    <s v="Bottoms"/>
    <n v="2"/>
    <n v="60"/>
    <n v="120"/>
    <x v="2"/>
    <x v="1"/>
  </r>
  <r>
    <s v="ORD121"/>
    <s v="CUST143"/>
    <d v="2025-12-21T00:00:00"/>
    <x v="0"/>
    <s v="Outwear"/>
    <n v="4"/>
    <n v="120"/>
    <n v="480"/>
    <x v="0"/>
    <x v="1"/>
  </r>
  <r>
    <s v="ORD122"/>
    <s v="CUST030"/>
    <d v="2025-11-27T00:00:00"/>
    <x v="2"/>
    <s v="Footwear"/>
    <n v="2"/>
    <n v="90"/>
    <n v="180"/>
    <x v="3"/>
    <x v="1"/>
  </r>
  <r>
    <s v="ORD123"/>
    <s v="CUST172"/>
    <d v="2025-11-06T00:00:00"/>
    <x v="3"/>
    <s v="Dresses"/>
    <n v="9"/>
    <n v="80"/>
    <n v="720"/>
    <x v="0"/>
    <x v="1"/>
  </r>
  <r>
    <s v="ORD124"/>
    <s v="CUST018"/>
    <d v="2025-03-07T00:00:00"/>
    <x v="3"/>
    <s v="Dresses"/>
    <n v="4"/>
    <n v="80"/>
    <n v="320"/>
    <x v="2"/>
    <x v="2"/>
  </r>
  <r>
    <s v="ORD125"/>
    <s v="CUST190"/>
    <d v="2025-01-27T00:00:00"/>
    <x v="0"/>
    <s v="Outwear"/>
    <n v="5"/>
    <n v="120"/>
    <n v="600"/>
    <x v="3"/>
    <x v="1"/>
  </r>
  <r>
    <s v="ORD126"/>
    <s v="CUST158"/>
    <d v="2025-04-03T00:00:00"/>
    <x v="0"/>
    <s v="Outwear"/>
    <n v="5"/>
    <n v="120"/>
    <n v="600"/>
    <x v="1"/>
    <x v="2"/>
  </r>
  <r>
    <s v="ORD127"/>
    <s v="CUST186"/>
    <d v="2025-06-19T00:00:00"/>
    <x v="1"/>
    <s v="Bottoms"/>
    <n v="1"/>
    <n v="60"/>
    <n v="60"/>
    <x v="0"/>
    <x v="1"/>
  </r>
  <r>
    <s v="ORD128"/>
    <s v="CUST127"/>
    <d v="2025-08-02T00:00:00"/>
    <x v="1"/>
    <s v="Bottoms"/>
    <n v="8"/>
    <n v="60"/>
    <n v="480"/>
    <x v="1"/>
    <x v="1"/>
  </r>
  <r>
    <s v="ORD129"/>
    <s v="CUST082"/>
    <d v="2025-12-05T00:00:00"/>
    <x v="4"/>
    <s v="Tops"/>
    <n v="9"/>
    <n v="25"/>
    <n v="225"/>
    <x v="1"/>
    <x v="1"/>
  </r>
  <r>
    <s v="ORD130"/>
    <s v="CUST173"/>
    <d v="2025-06-05T00:00:00"/>
    <x v="0"/>
    <s v="Outwear"/>
    <n v="7"/>
    <n v="120"/>
    <n v="840"/>
    <x v="0"/>
    <x v="0"/>
  </r>
  <r>
    <s v="ORD131"/>
    <s v="CUST100"/>
    <d v="2025-02-24T00:00:00"/>
    <x v="2"/>
    <s v="Footwear"/>
    <n v="8"/>
    <n v="90"/>
    <n v="720"/>
    <x v="3"/>
    <x v="2"/>
  </r>
  <r>
    <s v="ORD132"/>
    <s v="CUST197"/>
    <d v="2025-08-10T00:00:00"/>
    <x v="0"/>
    <s v="Outwear"/>
    <n v="8"/>
    <n v="120"/>
    <n v="960"/>
    <x v="0"/>
    <x v="0"/>
  </r>
  <r>
    <s v="ORD133"/>
    <s v="CUST101"/>
    <d v="2025-07-24T00:00:00"/>
    <x v="1"/>
    <s v="Bottoms"/>
    <n v="10"/>
    <n v="60"/>
    <n v="600"/>
    <x v="0"/>
    <x v="1"/>
  </r>
  <r>
    <s v="ORD134"/>
    <s v="CUST182"/>
    <d v="2025-04-27T00:00:00"/>
    <x v="2"/>
    <s v="Footwear"/>
    <n v="3"/>
    <n v="90"/>
    <n v="270"/>
    <x v="2"/>
    <x v="1"/>
  </r>
  <r>
    <s v="ORD135"/>
    <s v="CUST153"/>
    <d v="2025-02-07T00:00:00"/>
    <x v="4"/>
    <s v="Tops"/>
    <n v="6"/>
    <n v="25"/>
    <n v="150"/>
    <x v="0"/>
    <x v="0"/>
  </r>
  <r>
    <s v="ORD136"/>
    <s v="CUST151"/>
    <d v="2025-06-26T00:00:00"/>
    <x v="3"/>
    <s v="Dresses"/>
    <n v="3"/>
    <n v="80"/>
    <n v="240"/>
    <x v="0"/>
    <x v="1"/>
  </r>
  <r>
    <s v="ORD137"/>
    <s v="CUST067"/>
    <d v="2025-08-23T00:00:00"/>
    <x v="2"/>
    <s v="Footwear"/>
    <n v="6"/>
    <n v="90"/>
    <n v="540"/>
    <x v="1"/>
    <x v="1"/>
  </r>
  <r>
    <s v="ORD138"/>
    <s v="CUST096"/>
    <d v="2025-05-16T00:00:00"/>
    <x v="4"/>
    <s v="Tops"/>
    <n v="7"/>
    <n v="25"/>
    <n v="175"/>
    <x v="3"/>
    <x v="0"/>
  </r>
  <r>
    <s v="ORD139"/>
    <s v="CUST062"/>
    <d v="2025-07-07T00:00:00"/>
    <x v="3"/>
    <s v="Dresses"/>
    <n v="10"/>
    <n v="80"/>
    <n v="800"/>
    <x v="0"/>
    <x v="1"/>
  </r>
  <r>
    <s v="ORD140"/>
    <s v="CUST063"/>
    <d v="2025-03-27T00:00:00"/>
    <x v="1"/>
    <s v="Bottoms"/>
    <n v="10"/>
    <n v="60"/>
    <n v="600"/>
    <x v="1"/>
    <x v="1"/>
  </r>
  <r>
    <s v="ORD141"/>
    <s v="CUST185"/>
    <d v="2025-03-26T00:00:00"/>
    <x v="2"/>
    <s v="Footwear"/>
    <n v="1"/>
    <n v="90"/>
    <n v="90"/>
    <x v="0"/>
    <x v="1"/>
  </r>
  <r>
    <s v="ORD142"/>
    <s v="CUST146"/>
    <d v="2025-11-15T00:00:00"/>
    <x v="2"/>
    <s v="Footwear"/>
    <n v="5"/>
    <n v="90"/>
    <n v="450"/>
    <x v="2"/>
    <x v="1"/>
  </r>
  <r>
    <s v="ORD143"/>
    <s v="CUST132"/>
    <d v="2025-06-07T00:00:00"/>
    <x v="0"/>
    <s v="Outwear"/>
    <n v="8"/>
    <n v="120"/>
    <n v="960"/>
    <x v="0"/>
    <x v="1"/>
  </r>
  <r>
    <s v="ORD144"/>
    <s v="CUST196"/>
    <d v="2025-07-28T00:00:00"/>
    <x v="2"/>
    <s v="Footwear"/>
    <n v="1"/>
    <n v="90"/>
    <n v="90"/>
    <x v="0"/>
    <x v="0"/>
  </r>
  <r>
    <s v="ORD145"/>
    <s v="CUST130"/>
    <d v="2025-11-09T00:00:00"/>
    <x v="0"/>
    <s v="Outwear"/>
    <n v="9"/>
    <n v="120"/>
    <n v="1080"/>
    <x v="3"/>
    <x v="1"/>
  </r>
  <r>
    <s v="ORD146"/>
    <s v="CUST036"/>
    <d v="2025-10-08T00:00:00"/>
    <x v="3"/>
    <s v="Dresses"/>
    <n v="6"/>
    <n v="80"/>
    <n v="480"/>
    <x v="2"/>
    <x v="0"/>
  </r>
  <r>
    <s v="ORD147"/>
    <s v="CUST172"/>
    <d v="2025-06-08T00:00:00"/>
    <x v="3"/>
    <s v="Dresses"/>
    <n v="6"/>
    <n v="80"/>
    <n v="480"/>
    <x v="2"/>
    <x v="1"/>
  </r>
  <r>
    <s v="ORD148"/>
    <s v="CUST153"/>
    <d v="2025-11-03T00:00:00"/>
    <x v="2"/>
    <s v="Footwear"/>
    <n v="5"/>
    <n v="90"/>
    <n v="450"/>
    <x v="3"/>
    <x v="0"/>
  </r>
  <r>
    <s v="ORD149"/>
    <s v="CUST050"/>
    <d v="2025-04-17T00:00:00"/>
    <x v="3"/>
    <s v="Dresses"/>
    <n v="5"/>
    <n v="80"/>
    <n v="400"/>
    <x v="0"/>
    <x v="1"/>
  </r>
  <r>
    <s v="ORD150"/>
    <s v="CUST017"/>
    <d v="2025-07-21T00:00:00"/>
    <x v="3"/>
    <s v="Dresses"/>
    <n v="2"/>
    <n v="80"/>
    <n v="160"/>
    <x v="1"/>
    <x v="0"/>
  </r>
  <r>
    <s v="ORD151"/>
    <s v="CUST054"/>
    <d v="2025-07-25T00:00:00"/>
    <x v="1"/>
    <s v="Bottoms"/>
    <n v="2"/>
    <n v="60"/>
    <n v="120"/>
    <x v="1"/>
    <x v="0"/>
  </r>
  <r>
    <s v="ORD152"/>
    <s v="CUST012"/>
    <d v="2025-02-04T00:00:00"/>
    <x v="3"/>
    <s v="Dresses"/>
    <n v="4"/>
    <n v="80"/>
    <n v="320"/>
    <x v="0"/>
    <x v="1"/>
  </r>
  <r>
    <s v="ORD153"/>
    <s v="CUST061"/>
    <d v="2025-03-02T00:00:00"/>
    <x v="4"/>
    <s v="Tops"/>
    <n v="9"/>
    <n v="25"/>
    <n v="225"/>
    <x v="0"/>
    <x v="1"/>
  </r>
  <r>
    <s v="ORD154"/>
    <s v="CUST181"/>
    <d v="2025-06-13T00:00:00"/>
    <x v="2"/>
    <s v="Footwear"/>
    <n v="8"/>
    <n v="90"/>
    <n v="720"/>
    <x v="1"/>
    <x v="1"/>
  </r>
  <r>
    <s v="ORD155"/>
    <s v="CUST143"/>
    <d v="2025-12-24T00:00:00"/>
    <x v="3"/>
    <s v="Dresses"/>
    <n v="8"/>
    <n v="80"/>
    <n v="640"/>
    <x v="3"/>
    <x v="1"/>
  </r>
  <r>
    <s v="ORD156"/>
    <s v="CUST088"/>
    <d v="2025-06-28T00:00:00"/>
    <x v="4"/>
    <s v="Tops"/>
    <n v="8"/>
    <n v="25"/>
    <n v="200"/>
    <x v="3"/>
    <x v="1"/>
  </r>
  <r>
    <s v="ORD157"/>
    <s v="CUST128"/>
    <d v="2025-01-19T00:00:00"/>
    <x v="3"/>
    <s v="Dresses"/>
    <n v="2"/>
    <n v="80"/>
    <n v="160"/>
    <x v="1"/>
    <x v="1"/>
  </r>
  <r>
    <s v="ORD158"/>
    <s v="CUST003"/>
    <d v="2025-03-03T00:00:00"/>
    <x v="1"/>
    <s v="Bottoms"/>
    <n v="3"/>
    <n v="60"/>
    <n v="180"/>
    <x v="1"/>
    <x v="1"/>
  </r>
  <r>
    <s v="ORD159"/>
    <s v="CUST195"/>
    <d v="2025-11-14T00:00:00"/>
    <x v="3"/>
    <s v="Dresses"/>
    <n v="8"/>
    <n v="80"/>
    <n v="640"/>
    <x v="2"/>
    <x v="0"/>
  </r>
  <r>
    <s v="ORD160"/>
    <s v="CUST102"/>
    <d v="2025-12-17T00:00:00"/>
    <x v="2"/>
    <s v="Footwear"/>
    <n v="1"/>
    <n v="90"/>
    <n v="90"/>
    <x v="0"/>
    <x v="1"/>
  </r>
  <r>
    <s v="ORD161"/>
    <s v="CUST196"/>
    <d v="2025-04-11T00:00:00"/>
    <x v="0"/>
    <s v="Outwear"/>
    <n v="6"/>
    <n v="120"/>
    <n v="720"/>
    <x v="0"/>
    <x v="0"/>
  </r>
  <r>
    <s v="ORD162"/>
    <s v="CUST148"/>
    <d v="2025-06-27T00:00:00"/>
    <x v="2"/>
    <s v="Footwear"/>
    <n v="4"/>
    <n v="90"/>
    <n v="360"/>
    <x v="0"/>
    <x v="1"/>
  </r>
  <r>
    <s v="ORD163"/>
    <s v="CUST109"/>
    <d v="2025-09-11T00:00:00"/>
    <x v="1"/>
    <s v="Bottoms"/>
    <n v="1"/>
    <n v="60"/>
    <n v="60"/>
    <x v="0"/>
    <x v="1"/>
  </r>
  <r>
    <s v="ORD164"/>
    <s v="CUST046"/>
    <d v="2025-04-16T00:00:00"/>
    <x v="2"/>
    <s v="Footwear"/>
    <n v="8"/>
    <n v="90"/>
    <n v="720"/>
    <x v="3"/>
    <x v="1"/>
  </r>
  <r>
    <s v="ORD165"/>
    <s v="CUST009"/>
    <d v="2025-12-16T00:00:00"/>
    <x v="2"/>
    <s v="Footwear"/>
    <n v="10"/>
    <n v="90"/>
    <n v="900"/>
    <x v="1"/>
    <x v="1"/>
  </r>
  <r>
    <s v="ORD166"/>
    <s v="CUST110"/>
    <d v="2025-06-10T00:00:00"/>
    <x v="2"/>
    <s v="Footwear"/>
    <n v="6"/>
    <n v="90"/>
    <n v="540"/>
    <x v="3"/>
    <x v="1"/>
  </r>
  <r>
    <s v="ORD167"/>
    <s v="CUST066"/>
    <d v="2025-07-09T00:00:00"/>
    <x v="1"/>
    <s v="Bottoms"/>
    <n v="7"/>
    <n v="60"/>
    <n v="420"/>
    <x v="3"/>
    <x v="1"/>
  </r>
  <r>
    <s v="ORD168"/>
    <s v="CUST187"/>
    <d v="2025-11-10T00:00:00"/>
    <x v="1"/>
    <s v="Bottoms"/>
    <n v="3"/>
    <n v="60"/>
    <n v="180"/>
    <x v="0"/>
    <x v="1"/>
  </r>
  <r>
    <s v="ORD169"/>
    <s v="CUST011"/>
    <d v="2025-12-08T00:00:00"/>
    <x v="0"/>
    <s v="Outwear"/>
    <n v="10"/>
    <n v="120"/>
    <n v="1200"/>
    <x v="0"/>
    <x v="1"/>
  </r>
  <r>
    <s v="ORD170"/>
    <s v="CUST142"/>
    <d v="2025-05-19T00:00:00"/>
    <x v="0"/>
    <s v="Outwear"/>
    <n v="6"/>
    <n v="120"/>
    <n v="720"/>
    <x v="2"/>
    <x v="1"/>
  </r>
  <r>
    <s v="ORD171"/>
    <s v="CUST064"/>
    <d v="2025-10-14T00:00:00"/>
    <x v="0"/>
    <s v="Outwear"/>
    <n v="2"/>
    <n v="120"/>
    <n v="240"/>
    <x v="2"/>
    <x v="1"/>
  </r>
  <r>
    <s v="ORD172"/>
    <s v="CUST185"/>
    <d v="2025-06-07T00:00:00"/>
    <x v="3"/>
    <s v="Dresses"/>
    <n v="4"/>
    <n v="80"/>
    <n v="320"/>
    <x v="2"/>
    <x v="1"/>
  </r>
  <r>
    <s v="ORD173"/>
    <s v="CUST059"/>
    <d v="2025-06-14T00:00:00"/>
    <x v="3"/>
    <s v="Dresses"/>
    <n v="10"/>
    <n v="80"/>
    <n v="800"/>
    <x v="2"/>
    <x v="2"/>
  </r>
  <r>
    <s v="ORD174"/>
    <s v="CUST103"/>
    <d v="2025-08-25T00:00:00"/>
    <x v="4"/>
    <s v="Tops"/>
    <n v="2"/>
    <n v="25"/>
    <n v="50"/>
    <x v="2"/>
    <x v="1"/>
  </r>
  <r>
    <s v="ORD175"/>
    <s v="CUST161"/>
    <d v="2025-12-15T00:00:00"/>
    <x v="2"/>
    <s v="Footwear"/>
    <n v="5"/>
    <n v="90"/>
    <n v="450"/>
    <x v="0"/>
    <x v="1"/>
  </r>
  <r>
    <s v="ORD176"/>
    <s v="CUST198"/>
    <d v="2025-04-18T00:00:00"/>
    <x v="1"/>
    <s v="Bottoms"/>
    <n v="2"/>
    <n v="60"/>
    <n v="120"/>
    <x v="2"/>
    <x v="2"/>
  </r>
  <r>
    <s v="ORD177"/>
    <s v="CUST062"/>
    <d v="2025-03-07T00:00:00"/>
    <x v="0"/>
    <s v="Outwear"/>
    <n v="3"/>
    <n v="120"/>
    <n v="360"/>
    <x v="1"/>
    <x v="1"/>
  </r>
  <r>
    <s v="ORD178"/>
    <s v="CUST010"/>
    <d v="2025-08-22T00:00:00"/>
    <x v="2"/>
    <s v="Footwear"/>
    <n v="4"/>
    <n v="90"/>
    <n v="360"/>
    <x v="0"/>
    <x v="1"/>
  </r>
  <r>
    <s v="ORD179"/>
    <s v="CUST141"/>
    <d v="2025-02-07T00:00:00"/>
    <x v="3"/>
    <s v="Dresses"/>
    <n v="7"/>
    <n v="80"/>
    <n v="560"/>
    <x v="1"/>
    <x v="1"/>
  </r>
  <r>
    <s v="ORD180"/>
    <s v="CUST195"/>
    <d v="2025-10-18T00:00:00"/>
    <x v="3"/>
    <s v="Dresses"/>
    <n v="10"/>
    <n v="80"/>
    <n v="800"/>
    <x v="3"/>
    <x v="0"/>
  </r>
  <r>
    <s v="ORD181"/>
    <s v="CUST099"/>
    <d v="2025-10-05T00:00:00"/>
    <x v="2"/>
    <s v="Footwear"/>
    <n v="9"/>
    <n v="90"/>
    <n v="810"/>
    <x v="2"/>
    <x v="2"/>
  </r>
  <r>
    <s v="ORD182"/>
    <s v="CUST082"/>
    <d v="2025-09-06T00:00:00"/>
    <x v="2"/>
    <s v="Footwear"/>
    <n v="4"/>
    <n v="90"/>
    <n v="360"/>
    <x v="0"/>
    <x v="1"/>
  </r>
  <r>
    <s v="ORD183"/>
    <s v="CUST150"/>
    <d v="2025-01-27T00:00:00"/>
    <x v="4"/>
    <s v="Tops"/>
    <n v="4"/>
    <n v="25"/>
    <n v="100"/>
    <x v="0"/>
    <x v="1"/>
  </r>
  <r>
    <s v="ORD184"/>
    <s v="CUST095"/>
    <d v="2025-01-24T00:00:00"/>
    <x v="0"/>
    <s v="Outwear"/>
    <n v="9"/>
    <n v="120"/>
    <n v="1080"/>
    <x v="1"/>
    <x v="0"/>
  </r>
  <r>
    <s v="ORD185"/>
    <s v="CUST120"/>
    <d v="2025-10-12T00:00:00"/>
    <x v="3"/>
    <s v="Dresses"/>
    <n v="9"/>
    <n v="80"/>
    <n v="720"/>
    <x v="0"/>
    <x v="2"/>
  </r>
  <r>
    <s v="ORD186"/>
    <s v="CUST086"/>
    <d v="2025-12-16T00:00:00"/>
    <x v="4"/>
    <s v="Tops"/>
    <n v="10"/>
    <n v="25"/>
    <n v="250"/>
    <x v="2"/>
    <x v="1"/>
  </r>
  <r>
    <s v="ORD187"/>
    <s v="CUST162"/>
    <d v="2025-11-06T00:00:00"/>
    <x v="1"/>
    <s v="Bottoms"/>
    <n v="10"/>
    <n v="60"/>
    <n v="600"/>
    <x v="1"/>
    <x v="1"/>
  </r>
  <r>
    <s v="ORD188"/>
    <s v="CUST130"/>
    <d v="2025-08-11T00:00:00"/>
    <x v="4"/>
    <s v="Tops"/>
    <n v="1"/>
    <n v="25"/>
    <n v="25"/>
    <x v="1"/>
    <x v="1"/>
  </r>
  <r>
    <s v="ORD189"/>
    <s v="CUST113"/>
    <d v="2025-02-04T00:00:00"/>
    <x v="4"/>
    <s v="Tops"/>
    <n v="5"/>
    <n v="25"/>
    <n v="125"/>
    <x v="2"/>
    <x v="0"/>
  </r>
  <r>
    <s v="ORD190"/>
    <s v="CUST008"/>
    <d v="2025-04-03T00:00:00"/>
    <x v="4"/>
    <s v="Tops"/>
    <n v="4"/>
    <n v="25"/>
    <n v="100"/>
    <x v="2"/>
    <x v="1"/>
  </r>
  <r>
    <s v="ORD191"/>
    <s v="CUST140"/>
    <d v="2025-06-09T00:00:00"/>
    <x v="4"/>
    <s v="Tops"/>
    <n v="1"/>
    <n v="25"/>
    <n v="25"/>
    <x v="0"/>
    <x v="2"/>
  </r>
  <r>
    <s v="ORD192"/>
    <s v="CUST041"/>
    <d v="2025-10-23T00:00:00"/>
    <x v="1"/>
    <s v="Bottoms"/>
    <n v="10"/>
    <n v="60"/>
    <n v="600"/>
    <x v="0"/>
    <x v="1"/>
  </r>
  <r>
    <s v="ORD193"/>
    <s v="CUST120"/>
    <d v="2025-11-13T00:00:00"/>
    <x v="2"/>
    <s v="Footwear"/>
    <n v="10"/>
    <n v="90"/>
    <n v="900"/>
    <x v="3"/>
    <x v="2"/>
  </r>
  <r>
    <s v="ORD194"/>
    <s v="CUST041"/>
    <d v="2025-12-02T00:00:00"/>
    <x v="1"/>
    <s v="Bottoms"/>
    <n v="2"/>
    <n v="60"/>
    <n v="120"/>
    <x v="0"/>
    <x v="1"/>
  </r>
  <r>
    <s v="ORD195"/>
    <s v="CUST047"/>
    <d v="2025-01-30T00:00:00"/>
    <x v="2"/>
    <s v="Footwear"/>
    <n v="2"/>
    <n v="90"/>
    <n v="180"/>
    <x v="2"/>
    <x v="1"/>
  </r>
  <r>
    <s v="ORD196"/>
    <s v="CUST190"/>
    <d v="2025-02-09T00:00:00"/>
    <x v="2"/>
    <s v="Footwear"/>
    <n v="8"/>
    <n v="90"/>
    <n v="720"/>
    <x v="1"/>
    <x v="1"/>
  </r>
  <r>
    <s v="ORD197"/>
    <s v="CUST124"/>
    <d v="2025-08-31T00:00:00"/>
    <x v="1"/>
    <s v="Bottoms"/>
    <n v="9"/>
    <n v="60"/>
    <n v="540"/>
    <x v="0"/>
    <x v="1"/>
  </r>
  <r>
    <s v="ORD198"/>
    <s v="CUST104"/>
    <d v="2025-10-11T00:00:00"/>
    <x v="1"/>
    <s v="Bottoms"/>
    <n v="7"/>
    <n v="60"/>
    <n v="420"/>
    <x v="0"/>
    <x v="1"/>
  </r>
  <r>
    <s v="ORD199"/>
    <s v="CUST148"/>
    <d v="2025-11-04T00:00:00"/>
    <x v="1"/>
    <s v="Bottoms"/>
    <n v="2"/>
    <n v="60"/>
    <n v="120"/>
    <x v="0"/>
    <x v="1"/>
  </r>
  <r>
    <s v="ORD200"/>
    <s v="CUST068"/>
    <d v="2025-06-22T00:00:00"/>
    <x v="4"/>
    <s v="Tops"/>
    <n v="1"/>
    <n v="25"/>
    <n v="25"/>
    <x v="2"/>
    <x v="1"/>
  </r>
  <r>
    <s v="ORD201"/>
    <s v="CUST008"/>
    <d v="2025-01-12T00:00:00"/>
    <x v="0"/>
    <s v="Outwear"/>
    <n v="9"/>
    <n v="120"/>
    <n v="1080"/>
    <x v="2"/>
    <x v="1"/>
  </r>
  <r>
    <s v="ORD202"/>
    <s v="CUST166"/>
    <d v="2025-01-11T00:00:00"/>
    <x v="3"/>
    <s v="Dresses"/>
    <n v="6"/>
    <n v="80"/>
    <n v="480"/>
    <x v="0"/>
    <x v="1"/>
  </r>
  <r>
    <s v="ORD203"/>
    <s v="CUST085"/>
    <d v="2025-01-01T00:00:00"/>
    <x v="0"/>
    <s v="Outwear"/>
    <n v="3"/>
    <n v="120"/>
    <n v="360"/>
    <x v="1"/>
    <x v="1"/>
  </r>
  <r>
    <s v="ORD204"/>
    <s v="CUST030"/>
    <d v="2025-02-01T00:00:00"/>
    <x v="1"/>
    <s v="Bottoms"/>
    <n v="7"/>
    <n v="60"/>
    <n v="420"/>
    <x v="3"/>
    <x v="1"/>
  </r>
  <r>
    <s v="ORD205"/>
    <s v="CUST140"/>
    <d v="2025-05-01T00:00:00"/>
    <x v="0"/>
    <s v="Outwear"/>
    <n v="5"/>
    <n v="120"/>
    <n v="600"/>
    <x v="1"/>
    <x v="2"/>
  </r>
  <r>
    <s v="ORD206"/>
    <s v="CUST090"/>
    <d v="2025-02-02T00:00:00"/>
    <x v="3"/>
    <s v="Dresses"/>
    <n v="6"/>
    <n v="80"/>
    <n v="480"/>
    <x v="0"/>
    <x v="1"/>
  </r>
  <r>
    <s v="ORD207"/>
    <s v="CUST083"/>
    <d v="2025-11-06T00:00:00"/>
    <x v="3"/>
    <s v="Dresses"/>
    <n v="4"/>
    <n v="80"/>
    <n v="320"/>
    <x v="3"/>
    <x v="1"/>
  </r>
  <r>
    <s v="ORD208"/>
    <s v="CUST148"/>
    <d v="2025-05-07T00:00:00"/>
    <x v="2"/>
    <s v="Footwear"/>
    <n v="2"/>
    <n v="90"/>
    <n v="180"/>
    <x v="1"/>
    <x v="1"/>
  </r>
  <r>
    <s v="ORD209"/>
    <s v="CUST090"/>
    <d v="2025-03-02T00:00:00"/>
    <x v="2"/>
    <s v="Footwear"/>
    <n v="5"/>
    <n v="90"/>
    <n v="450"/>
    <x v="0"/>
    <x v="1"/>
  </r>
  <r>
    <s v="ORD210"/>
    <s v="CUST146"/>
    <d v="2025-07-26T00:00:00"/>
    <x v="3"/>
    <s v="Dresses"/>
    <n v="7"/>
    <n v="80"/>
    <n v="560"/>
    <x v="1"/>
    <x v="1"/>
  </r>
  <r>
    <s v="ORD211"/>
    <s v="CUST179"/>
    <d v="2025-06-22T00:00:00"/>
    <x v="4"/>
    <s v="Tops"/>
    <n v="10"/>
    <n v="25"/>
    <n v="250"/>
    <x v="0"/>
    <x v="2"/>
  </r>
  <r>
    <s v="ORD212"/>
    <s v="CUST115"/>
    <d v="2025-11-14T00:00:00"/>
    <x v="4"/>
    <s v="Tops"/>
    <n v="8"/>
    <n v="25"/>
    <n v="200"/>
    <x v="0"/>
    <x v="0"/>
  </r>
  <r>
    <s v="ORD213"/>
    <s v="CUST165"/>
    <d v="2025-05-25T00:00:00"/>
    <x v="3"/>
    <s v="Dresses"/>
    <n v="6"/>
    <n v="80"/>
    <n v="480"/>
    <x v="2"/>
    <x v="1"/>
  </r>
  <r>
    <s v="ORD214"/>
    <s v="CUST020"/>
    <d v="2025-12-28T00:00:00"/>
    <x v="2"/>
    <s v="Footwear"/>
    <n v="5"/>
    <n v="90"/>
    <n v="450"/>
    <x v="0"/>
    <x v="2"/>
  </r>
  <r>
    <s v="ORD215"/>
    <s v="CUST180"/>
    <d v="2025-06-15T00:00:00"/>
    <x v="4"/>
    <s v="Tops"/>
    <n v="3"/>
    <n v="25"/>
    <n v="75"/>
    <x v="3"/>
    <x v="2"/>
  </r>
  <r>
    <s v="ORD216"/>
    <s v="CUST042"/>
    <d v="2025-07-17T00:00:00"/>
    <x v="3"/>
    <s v="Dresses"/>
    <n v="8"/>
    <n v="80"/>
    <n v="640"/>
    <x v="2"/>
    <x v="1"/>
  </r>
  <r>
    <s v="ORD217"/>
    <s v="CUST038"/>
    <d v="2025-10-06T00:00:00"/>
    <x v="4"/>
    <s v="Tops"/>
    <n v="4"/>
    <n v="25"/>
    <n v="100"/>
    <x v="1"/>
    <x v="2"/>
  </r>
  <r>
    <s v="ORD218"/>
    <s v="CUST049"/>
    <d v="2025-02-18T00:00:00"/>
    <x v="3"/>
    <s v="Dresses"/>
    <n v="8"/>
    <n v="80"/>
    <n v="640"/>
    <x v="1"/>
    <x v="1"/>
  </r>
  <r>
    <s v="ORD219"/>
    <s v="CUST146"/>
    <d v="2025-08-01T00:00:00"/>
    <x v="4"/>
    <s v="Tops"/>
    <n v="9"/>
    <n v="25"/>
    <n v="225"/>
    <x v="3"/>
    <x v="1"/>
  </r>
  <r>
    <s v="ORD220"/>
    <s v="CUST072"/>
    <d v="2025-12-17T00:00:00"/>
    <x v="1"/>
    <s v="Bottoms"/>
    <n v="9"/>
    <n v="60"/>
    <n v="540"/>
    <x v="3"/>
    <x v="1"/>
  </r>
  <r>
    <s v="ORD221"/>
    <s v="CUST190"/>
    <d v="2025-06-09T00:00:00"/>
    <x v="4"/>
    <s v="Tops"/>
    <n v="6"/>
    <n v="25"/>
    <n v="150"/>
    <x v="3"/>
    <x v="1"/>
  </r>
  <r>
    <s v="ORD222"/>
    <s v="CUST125"/>
    <d v="2025-04-30T00:00:00"/>
    <x v="2"/>
    <s v="Footwear"/>
    <n v="1"/>
    <n v="90"/>
    <n v="90"/>
    <x v="0"/>
    <x v="1"/>
  </r>
  <r>
    <s v="ORD223"/>
    <s v="CUST087"/>
    <d v="2025-08-09T00:00:00"/>
    <x v="0"/>
    <s v="Outwear"/>
    <n v="8"/>
    <n v="120"/>
    <n v="960"/>
    <x v="0"/>
    <x v="1"/>
  </r>
  <r>
    <s v="ORD224"/>
    <s v="CUST086"/>
    <d v="2025-06-13T00:00:00"/>
    <x v="4"/>
    <s v="Tops"/>
    <n v="10"/>
    <n v="25"/>
    <n v="250"/>
    <x v="2"/>
    <x v="1"/>
  </r>
  <r>
    <s v="ORD225"/>
    <s v="CUST046"/>
    <d v="2025-02-18T00:00:00"/>
    <x v="4"/>
    <s v="Tops"/>
    <n v="3"/>
    <n v="25"/>
    <n v="75"/>
    <x v="0"/>
    <x v="1"/>
  </r>
  <r>
    <s v="ORD226"/>
    <s v="CUST083"/>
    <d v="2025-08-12T00:00:00"/>
    <x v="3"/>
    <s v="Dresses"/>
    <n v="8"/>
    <n v="80"/>
    <n v="640"/>
    <x v="2"/>
    <x v="1"/>
  </r>
  <r>
    <s v="ORD227"/>
    <s v="CUST133"/>
    <d v="2025-01-02T00:00:00"/>
    <x v="2"/>
    <s v="Footwear"/>
    <n v="3"/>
    <n v="90"/>
    <n v="270"/>
    <x v="0"/>
    <x v="0"/>
  </r>
  <r>
    <s v="ORD228"/>
    <s v="CUST186"/>
    <d v="2025-11-01T00:00:00"/>
    <x v="4"/>
    <s v="Tops"/>
    <n v="4"/>
    <n v="25"/>
    <n v="100"/>
    <x v="0"/>
    <x v="1"/>
  </r>
  <r>
    <s v="ORD229"/>
    <s v="CUST023"/>
    <d v="2025-07-17T00:00:00"/>
    <x v="1"/>
    <s v="Bottoms"/>
    <n v="10"/>
    <n v="60"/>
    <n v="600"/>
    <x v="2"/>
    <x v="1"/>
  </r>
  <r>
    <s v="ORD230"/>
    <s v="CUST200"/>
    <d v="2025-05-04T00:00:00"/>
    <x v="4"/>
    <s v="Tops"/>
    <n v="5"/>
    <n v="25"/>
    <n v="125"/>
    <x v="0"/>
    <x v="2"/>
  </r>
  <r>
    <s v="ORD231"/>
    <s v="CUST179"/>
    <d v="2025-01-12T00:00:00"/>
    <x v="1"/>
    <s v="Bottoms"/>
    <n v="7"/>
    <n v="60"/>
    <n v="420"/>
    <x v="1"/>
    <x v="2"/>
  </r>
  <r>
    <s v="ORD232"/>
    <s v="CUST056"/>
    <d v="2025-02-11T00:00:00"/>
    <x v="4"/>
    <s v="Tops"/>
    <n v="6"/>
    <n v="25"/>
    <n v="150"/>
    <x v="0"/>
    <x v="0"/>
  </r>
  <r>
    <s v="ORD233"/>
    <s v="CUST145"/>
    <d v="2025-10-08T00:00:00"/>
    <x v="3"/>
    <s v="Dresses"/>
    <n v="2"/>
    <n v="80"/>
    <n v="160"/>
    <x v="3"/>
    <x v="1"/>
  </r>
  <r>
    <s v="ORD234"/>
    <s v="CUST140"/>
    <d v="2025-06-22T00:00:00"/>
    <x v="4"/>
    <s v="Tops"/>
    <n v="3"/>
    <n v="25"/>
    <n v="75"/>
    <x v="0"/>
    <x v="2"/>
  </r>
  <r>
    <s v="ORD235"/>
    <s v="CUST127"/>
    <d v="2025-09-01T00:00:00"/>
    <x v="1"/>
    <s v="Bottoms"/>
    <n v="3"/>
    <n v="60"/>
    <n v="180"/>
    <x v="2"/>
    <x v="1"/>
  </r>
  <r>
    <s v="ORD236"/>
    <s v="CUST188"/>
    <d v="2025-02-10T00:00:00"/>
    <x v="1"/>
    <s v="Bottoms"/>
    <n v="7"/>
    <n v="60"/>
    <n v="420"/>
    <x v="1"/>
    <x v="1"/>
  </r>
  <r>
    <s v="ORD237"/>
    <s v="CUST195"/>
    <d v="2025-05-02T00:00:00"/>
    <x v="0"/>
    <s v="Outwear"/>
    <n v="4"/>
    <n v="120"/>
    <n v="480"/>
    <x v="3"/>
    <x v="0"/>
  </r>
  <r>
    <s v="ORD238"/>
    <s v="CUST073"/>
    <d v="2025-03-13T00:00:00"/>
    <x v="2"/>
    <s v="Footwear"/>
    <n v="10"/>
    <n v="90"/>
    <n v="900"/>
    <x v="0"/>
    <x v="0"/>
  </r>
  <r>
    <s v="ORD239"/>
    <s v="CUST158"/>
    <d v="2025-03-06T00:00:00"/>
    <x v="3"/>
    <s v="Dresses"/>
    <n v="2"/>
    <n v="80"/>
    <n v="160"/>
    <x v="0"/>
    <x v="2"/>
  </r>
  <r>
    <s v="ORD240"/>
    <s v="CUST152"/>
    <d v="2025-11-23T00:00:00"/>
    <x v="2"/>
    <s v="Footwear"/>
    <n v="2"/>
    <n v="90"/>
    <n v="180"/>
    <x v="0"/>
    <x v="1"/>
  </r>
  <r>
    <s v="ORD241"/>
    <s v="CUST135"/>
    <d v="2025-04-23T00:00:00"/>
    <x v="2"/>
    <s v="Footwear"/>
    <n v="4"/>
    <n v="90"/>
    <n v="360"/>
    <x v="2"/>
    <x v="0"/>
  </r>
  <r>
    <s v="ORD242"/>
    <s v="CUST200"/>
    <d v="2025-01-02T00:00:00"/>
    <x v="4"/>
    <s v="Tops"/>
    <n v="8"/>
    <n v="25"/>
    <n v="200"/>
    <x v="0"/>
    <x v="2"/>
  </r>
  <r>
    <s v="ORD243"/>
    <s v="CUST046"/>
    <d v="2025-09-11T00:00:00"/>
    <x v="2"/>
    <s v="Footwear"/>
    <n v="6"/>
    <n v="90"/>
    <n v="540"/>
    <x v="2"/>
    <x v="1"/>
  </r>
  <r>
    <s v="ORD244"/>
    <s v="CUST030"/>
    <d v="2025-03-30T00:00:00"/>
    <x v="4"/>
    <s v="Tops"/>
    <n v="7"/>
    <n v="25"/>
    <n v="175"/>
    <x v="3"/>
    <x v="1"/>
  </r>
  <r>
    <s v="ORD245"/>
    <s v="CUST111"/>
    <d v="2025-06-05T00:00:00"/>
    <x v="3"/>
    <s v="Dresses"/>
    <n v="1"/>
    <n v="80"/>
    <n v="80"/>
    <x v="0"/>
    <x v="1"/>
  </r>
  <r>
    <s v="ORD246"/>
    <s v="CUST056"/>
    <d v="2025-06-10T00:00:00"/>
    <x v="2"/>
    <s v="Footwear"/>
    <n v="6"/>
    <n v="90"/>
    <n v="540"/>
    <x v="3"/>
    <x v="0"/>
  </r>
  <r>
    <s v="ORD247"/>
    <s v="CUST030"/>
    <d v="2025-08-02T00:00:00"/>
    <x v="1"/>
    <s v="Bottoms"/>
    <n v="10"/>
    <n v="60"/>
    <n v="600"/>
    <x v="1"/>
    <x v="1"/>
  </r>
  <r>
    <s v="ORD248"/>
    <s v="CUST192"/>
    <d v="2025-08-01T00:00:00"/>
    <x v="2"/>
    <s v="Footwear"/>
    <n v="4"/>
    <n v="90"/>
    <n v="360"/>
    <x v="0"/>
    <x v="1"/>
  </r>
  <r>
    <s v="ORD249"/>
    <s v="CUST156"/>
    <d v="2025-06-07T00:00:00"/>
    <x v="3"/>
    <s v="Dresses"/>
    <n v="4"/>
    <n v="80"/>
    <n v="320"/>
    <x v="0"/>
    <x v="0"/>
  </r>
  <r>
    <s v="ORD250"/>
    <s v="CUST068"/>
    <d v="2025-05-29T00:00:00"/>
    <x v="4"/>
    <s v="Tops"/>
    <n v="5"/>
    <n v="25"/>
    <n v="125"/>
    <x v="0"/>
    <x v="1"/>
  </r>
  <r>
    <s v="ORD251"/>
    <s v="CUST037"/>
    <d v="2025-04-07T00:00:00"/>
    <x v="1"/>
    <s v="Bottoms"/>
    <n v="10"/>
    <n v="60"/>
    <n v="600"/>
    <x v="3"/>
    <x v="0"/>
  </r>
  <r>
    <s v="ORD252"/>
    <s v="CUST149"/>
    <d v="2025-10-14T00:00:00"/>
    <x v="1"/>
    <s v="Bottoms"/>
    <n v="6"/>
    <n v="60"/>
    <n v="360"/>
    <x v="1"/>
    <x v="1"/>
  </r>
  <r>
    <s v="ORD253"/>
    <s v="CUST195"/>
    <d v="2025-09-16T00:00:00"/>
    <x v="2"/>
    <s v="Footwear"/>
    <n v="6"/>
    <n v="90"/>
    <n v="540"/>
    <x v="0"/>
    <x v="0"/>
  </r>
  <r>
    <s v="ORD254"/>
    <s v="CUST110"/>
    <d v="2025-08-23T00:00:00"/>
    <x v="3"/>
    <s v="Dresses"/>
    <n v="6"/>
    <n v="80"/>
    <n v="480"/>
    <x v="0"/>
    <x v="1"/>
  </r>
  <r>
    <s v="ORD255"/>
    <s v="CUST099"/>
    <d v="2025-02-16T00:00:00"/>
    <x v="4"/>
    <s v="Tops"/>
    <n v="7"/>
    <n v="25"/>
    <n v="175"/>
    <x v="2"/>
    <x v="2"/>
  </r>
  <r>
    <s v="ORD256"/>
    <s v="CUST122"/>
    <d v="2025-03-30T00:00:00"/>
    <x v="3"/>
    <s v="Dresses"/>
    <n v="8"/>
    <n v="80"/>
    <n v="640"/>
    <x v="0"/>
    <x v="1"/>
  </r>
  <r>
    <s v="ORD257"/>
    <s v="CUST057"/>
    <d v="2025-04-22T00:00:00"/>
    <x v="0"/>
    <s v="Outwear"/>
    <n v="10"/>
    <n v="120"/>
    <n v="1200"/>
    <x v="0"/>
    <x v="0"/>
  </r>
  <r>
    <s v="ORD258"/>
    <s v="CUST035"/>
    <d v="2025-02-14T00:00:00"/>
    <x v="1"/>
    <s v="Bottoms"/>
    <n v="6"/>
    <n v="60"/>
    <n v="360"/>
    <x v="0"/>
    <x v="0"/>
  </r>
  <r>
    <s v="ORD259"/>
    <s v="CUST189"/>
    <d v="2025-04-29T00:00:00"/>
    <x v="3"/>
    <s v="Dresses"/>
    <n v="9"/>
    <n v="80"/>
    <n v="720"/>
    <x v="3"/>
    <x v="1"/>
  </r>
  <r>
    <s v="ORD260"/>
    <s v="CUST080"/>
    <d v="2025-01-21T00:00:00"/>
    <x v="4"/>
    <s v="Tops"/>
    <n v="6"/>
    <n v="25"/>
    <n v="150"/>
    <x v="2"/>
    <x v="2"/>
  </r>
  <r>
    <s v="ORD261"/>
    <s v="CUST009"/>
    <d v="2025-01-19T00:00:00"/>
    <x v="2"/>
    <s v="Footwear"/>
    <n v="9"/>
    <n v="90"/>
    <n v="810"/>
    <x v="3"/>
    <x v="1"/>
  </r>
  <r>
    <s v="ORD262"/>
    <s v="CUST081"/>
    <d v="2025-06-18T00:00:00"/>
    <x v="4"/>
    <s v="Tops"/>
    <n v="7"/>
    <n v="25"/>
    <n v="175"/>
    <x v="0"/>
    <x v="1"/>
  </r>
  <r>
    <s v="ORD263"/>
    <s v="CUST123"/>
    <d v="2025-12-15T00:00:00"/>
    <x v="3"/>
    <s v="Dresses"/>
    <n v="9"/>
    <n v="80"/>
    <n v="720"/>
    <x v="3"/>
    <x v="1"/>
  </r>
  <r>
    <s v="ORD264"/>
    <s v="CUST006"/>
    <d v="2025-06-17T00:00:00"/>
    <x v="4"/>
    <s v="Tops"/>
    <n v="8"/>
    <n v="25"/>
    <n v="200"/>
    <x v="1"/>
    <x v="1"/>
  </r>
  <r>
    <s v="ORD265"/>
    <s v="CUST180"/>
    <d v="2025-01-11T00:00:00"/>
    <x v="0"/>
    <s v="Outwear"/>
    <n v="4"/>
    <n v="120"/>
    <n v="480"/>
    <x v="0"/>
    <x v="2"/>
  </r>
  <r>
    <s v="ORD266"/>
    <s v="CUST093"/>
    <d v="2025-03-03T00:00:00"/>
    <x v="2"/>
    <s v="Footwear"/>
    <n v="5"/>
    <n v="90"/>
    <n v="450"/>
    <x v="2"/>
    <x v="0"/>
  </r>
  <r>
    <s v="ORD267"/>
    <s v="CUST002"/>
    <d v="2025-03-15T00:00:00"/>
    <x v="2"/>
    <s v="Footwear"/>
    <n v="2"/>
    <n v="90"/>
    <n v="180"/>
    <x v="2"/>
    <x v="1"/>
  </r>
  <r>
    <s v="ORD268"/>
    <s v="CUST023"/>
    <d v="2025-11-10T00:00:00"/>
    <x v="1"/>
    <s v="Bottoms"/>
    <n v="6"/>
    <n v="60"/>
    <n v="360"/>
    <x v="0"/>
    <x v="1"/>
  </r>
  <r>
    <s v="ORD269"/>
    <s v="CUST097"/>
    <d v="2025-09-10T00:00:00"/>
    <x v="3"/>
    <s v="Dresses"/>
    <n v="9"/>
    <n v="80"/>
    <n v="720"/>
    <x v="2"/>
    <x v="0"/>
  </r>
  <r>
    <s v="ORD270"/>
    <s v="CUST049"/>
    <d v="2025-02-17T00:00:00"/>
    <x v="4"/>
    <s v="Tops"/>
    <n v="3"/>
    <n v="25"/>
    <n v="75"/>
    <x v="3"/>
    <x v="1"/>
  </r>
  <r>
    <s v="ORD271"/>
    <s v="CUST093"/>
    <d v="2025-10-22T00:00:00"/>
    <x v="0"/>
    <s v="Outwear"/>
    <n v="5"/>
    <n v="120"/>
    <n v="600"/>
    <x v="0"/>
    <x v="0"/>
  </r>
  <r>
    <s v="ORD272"/>
    <s v="CUST158"/>
    <d v="2025-10-23T00:00:00"/>
    <x v="2"/>
    <s v="Footwear"/>
    <n v="7"/>
    <n v="90"/>
    <n v="630"/>
    <x v="1"/>
    <x v="2"/>
  </r>
  <r>
    <s v="ORD273"/>
    <s v="CUST048"/>
    <d v="2025-05-11T00:00:00"/>
    <x v="0"/>
    <s v="Outwear"/>
    <n v="4"/>
    <n v="120"/>
    <n v="480"/>
    <x v="3"/>
    <x v="1"/>
  </r>
  <r>
    <s v="ORD274"/>
    <s v="CUST194"/>
    <d v="2025-10-22T00:00:00"/>
    <x v="0"/>
    <s v="Outwear"/>
    <n v="5"/>
    <n v="120"/>
    <n v="600"/>
    <x v="2"/>
    <x v="0"/>
  </r>
  <r>
    <s v="ORD275"/>
    <s v="CUST024"/>
    <d v="2025-07-21T00:00:00"/>
    <x v="0"/>
    <s v="Outwear"/>
    <n v="5"/>
    <n v="120"/>
    <n v="600"/>
    <x v="3"/>
    <x v="1"/>
  </r>
  <r>
    <s v="ORD276"/>
    <s v="CUST103"/>
    <d v="2025-01-01T00:00:00"/>
    <x v="1"/>
    <s v="Bottoms"/>
    <n v="6"/>
    <n v="60"/>
    <n v="360"/>
    <x v="0"/>
    <x v="1"/>
  </r>
  <r>
    <s v="ORD277"/>
    <s v="CUST077"/>
    <d v="2025-04-29T00:00:00"/>
    <x v="2"/>
    <s v="Footwear"/>
    <n v="5"/>
    <n v="90"/>
    <n v="450"/>
    <x v="3"/>
    <x v="0"/>
  </r>
  <r>
    <s v="ORD278"/>
    <s v="CUST168"/>
    <d v="2025-03-24T00:00:00"/>
    <x v="1"/>
    <s v="Bottoms"/>
    <n v="7"/>
    <n v="60"/>
    <n v="420"/>
    <x v="1"/>
    <x v="1"/>
  </r>
  <r>
    <s v="ORD279"/>
    <s v="CUST030"/>
    <d v="2025-01-10T00:00:00"/>
    <x v="4"/>
    <s v="Tops"/>
    <n v="9"/>
    <n v="25"/>
    <n v="225"/>
    <x v="0"/>
    <x v="1"/>
  </r>
  <r>
    <s v="ORD280"/>
    <s v="CUST024"/>
    <d v="2025-06-30T00:00:00"/>
    <x v="0"/>
    <s v="Outwear"/>
    <n v="9"/>
    <n v="120"/>
    <n v="1080"/>
    <x v="0"/>
    <x v="1"/>
  </r>
  <r>
    <s v="ORD281"/>
    <s v="CUST177"/>
    <d v="2025-09-05T00:00:00"/>
    <x v="0"/>
    <s v="Outwear"/>
    <n v="3"/>
    <n v="120"/>
    <n v="360"/>
    <x v="0"/>
    <x v="0"/>
  </r>
  <r>
    <s v="ORD282"/>
    <s v="CUST153"/>
    <d v="2025-04-08T00:00:00"/>
    <x v="1"/>
    <s v="Bottoms"/>
    <n v="10"/>
    <n v="60"/>
    <n v="600"/>
    <x v="0"/>
    <x v="0"/>
  </r>
  <r>
    <s v="ORD283"/>
    <s v="CUST084"/>
    <d v="2025-12-13T00:00:00"/>
    <x v="1"/>
    <s v="Bottoms"/>
    <n v="7"/>
    <n v="60"/>
    <n v="420"/>
    <x v="3"/>
    <x v="1"/>
  </r>
  <r>
    <s v="ORD284"/>
    <s v="CUST104"/>
    <d v="2025-12-16T00:00:00"/>
    <x v="0"/>
    <s v="Outwear"/>
    <n v="5"/>
    <n v="120"/>
    <n v="600"/>
    <x v="3"/>
    <x v="1"/>
  </r>
  <r>
    <s v="ORD285"/>
    <s v="CUST010"/>
    <d v="2025-10-01T00:00:00"/>
    <x v="3"/>
    <s v="Dresses"/>
    <n v="5"/>
    <n v="80"/>
    <n v="400"/>
    <x v="2"/>
    <x v="1"/>
  </r>
  <r>
    <s v="ORD286"/>
    <s v="CUST037"/>
    <d v="2025-06-29T00:00:00"/>
    <x v="2"/>
    <s v="Footwear"/>
    <n v="5"/>
    <n v="90"/>
    <n v="450"/>
    <x v="3"/>
    <x v="0"/>
  </r>
  <r>
    <s v="ORD287"/>
    <s v="CUST092"/>
    <d v="2025-11-27T00:00:00"/>
    <x v="2"/>
    <s v="Footwear"/>
    <n v="3"/>
    <n v="90"/>
    <n v="270"/>
    <x v="1"/>
    <x v="1"/>
  </r>
  <r>
    <s v="ORD288"/>
    <s v="CUST101"/>
    <d v="2025-10-16T00:00:00"/>
    <x v="1"/>
    <s v="Bottoms"/>
    <n v="7"/>
    <n v="60"/>
    <n v="420"/>
    <x v="3"/>
    <x v="1"/>
  </r>
  <r>
    <s v="ORD289"/>
    <s v="CUST065"/>
    <d v="2025-09-12T00:00:00"/>
    <x v="4"/>
    <s v="Tops"/>
    <n v="3"/>
    <n v="25"/>
    <n v="75"/>
    <x v="0"/>
    <x v="1"/>
  </r>
  <r>
    <s v="ORD290"/>
    <s v="CUST035"/>
    <d v="2025-06-05T00:00:00"/>
    <x v="1"/>
    <s v="Bottoms"/>
    <n v="7"/>
    <n v="60"/>
    <n v="420"/>
    <x v="1"/>
    <x v="0"/>
  </r>
  <r>
    <s v="ORD291"/>
    <s v="CUST169"/>
    <d v="2025-01-21T00:00:00"/>
    <x v="4"/>
    <s v="Tops"/>
    <n v="2"/>
    <n v="25"/>
    <n v="50"/>
    <x v="3"/>
    <x v="1"/>
  </r>
  <r>
    <s v="ORD292"/>
    <s v="CUST030"/>
    <d v="2025-04-08T00:00:00"/>
    <x v="4"/>
    <s v="Tops"/>
    <n v="9"/>
    <n v="25"/>
    <n v="225"/>
    <x v="0"/>
    <x v="1"/>
  </r>
  <r>
    <s v="ORD293"/>
    <s v="CUST115"/>
    <d v="2025-07-21T00:00:00"/>
    <x v="1"/>
    <s v="Bottoms"/>
    <n v="4"/>
    <n v="60"/>
    <n v="240"/>
    <x v="0"/>
    <x v="0"/>
  </r>
  <r>
    <s v="ORD294"/>
    <s v="CUST165"/>
    <d v="2025-06-26T00:00:00"/>
    <x v="0"/>
    <s v="Outwear"/>
    <n v="1"/>
    <n v="120"/>
    <n v="120"/>
    <x v="0"/>
    <x v="1"/>
  </r>
  <r>
    <s v="ORD295"/>
    <s v="CUST061"/>
    <d v="2025-02-23T00:00:00"/>
    <x v="1"/>
    <s v="Bottoms"/>
    <n v="10"/>
    <n v="60"/>
    <n v="600"/>
    <x v="0"/>
    <x v="1"/>
  </r>
  <r>
    <s v="ORD296"/>
    <s v="CUST095"/>
    <d v="2025-06-10T00:00:00"/>
    <x v="3"/>
    <s v="Dresses"/>
    <n v="7"/>
    <n v="80"/>
    <n v="560"/>
    <x v="0"/>
    <x v="0"/>
  </r>
  <r>
    <s v="ORD297"/>
    <s v="CUST183"/>
    <d v="2025-05-30T00:00:00"/>
    <x v="3"/>
    <s v="Dresses"/>
    <n v="9"/>
    <n v="80"/>
    <n v="720"/>
    <x v="3"/>
    <x v="1"/>
  </r>
  <r>
    <s v="ORD298"/>
    <s v="CUST186"/>
    <d v="2025-12-14T00:00:00"/>
    <x v="4"/>
    <s v="Tops"/>
    <n v="6"/>
    <n v="25"/>
    <n v="150"/>
    <x v="2"/>
    <x v="1"/>
  </r>
  <r>
    <s v="ORD299"/>
    <s v="CUST199"/>
    <d v="2025-10-09T00:00:00"/>
    <x v="3"/>
    <s v="Dresses"/>
    <n v="5"/>
    <n v="80"/>
    <n v="400"/>
    <x v="0"/>
    <x v="2"/>
  </r>
  <r>
    <s v="ORD300"/>
    <s v="CUST102"/>
    <d v="2025-07-05T00:00:00"/>
    <x v="2"/>
    <s v="Footwear"/>
    <n v="3"/>
    <n v="90"/>
    <n v="270"/>
    <x v="0"/>
    <x v="1"/>
  </r>
  <r>
    <s v="ORD301"/>
    <s v="CUST158"/>
    <d v="2025-09-11T00:00:00"/>
    <x v="3"/>
    <s v="Dresses"/>
    <n v="1"/>
    <n v="80"/>
    <n v="80"/>
    <x v="0"/>
    <x v="2"/>
  </r>
  <r>
    <s v="ORD302"/>
    <s v="CUST182"/>
    <d v="2025-03-14T00:00:00"/>
    <x v="4"/>
    <s v="Tops"/>
    <n v="7"/>
    <n v="25"/>
    <n v="175"/>
    <x v="0"/>
    <x v="1"/>
  </r>
  <r>
    <s v="ORD303"/>
    <s v="CUST195"/>
    <d v="2025-05-24T00:00:00"/>
    <x v="2"/>
    <s v="Footwear"/>
    <n v="5"/>
    <n v="90"/>
    <n v="450"/>
    <x v="2"/>
    <x v="0"/>
  </r>
  <r>
    <s v="ORD304"/>
    <s v="CUST020"/>
    <d v="2025-08-04T00:00:00"/>
    <x v="2"/>
    <s v="Footwear"/>
    <n v="9"/>
    <n v="90"/>
    <n v="810"/>
    <x v="3"/>
    <x v="2"/>
  </r>
  <r>
    <s v="ORD305"/>
    <s v="CUST151"/>
    <d v="2025-05-22T00:00:00"/>
    <x v="0"/>
    <s v="Outwear"/>
    <n v="7"/>
    <n v="120"/>
    <n v="840"/>
    <x v="0"/>
    <x v="1"/>
  </r>
  <r>
    <s v="ORD306"/>
    <s v="CUST155"/>
    <d v="2025-09-02T00:00:00"/>
    <x v="1"/>
    <s v="Bottoms"/>
    <n v="8"/>
    <n v="60"/>
    <n v="480"/>
    <x v="2"/>
    <x v="0"/>
  </r>
  <r>
    <s v="ORD307"/>
    <s v="CUST181"/>
    <d v="2025-02-25T00:00:00"/>
    <x v="1"/>
    <s v="Bottoms"/>
    <n v="10"/>
    <n v="60"/>
    <n v="600"/>
    <x v="2"/>
    <x v="1"/>
  </r>
  <r>
    <s v="ORD308"/>
    <s v="CUST073"/>
    <d v="2025-02-14T00:00:00"/>
    <x v="0"/>
    <s v="Outwear"/>
    <n v="7"/>
    <n v="120"/>
    <n v="840"/>
    <x v="0"/>
    <x v="0"/>
  </r>
  <r>
    <s v="ORD309"/>
    <s v="CUST083"/>
    <d v="2025-10-10T00:00:00"/>
    <x v="2"/>
    <s v="Footwear"/>
    <n v="6"/>
    <n v="90"/>
    <n v="540"/>
    <x v="0"/>
    <x v="1"/>
  </r>
  <r>
    <s v="ORD310"/>
    <s v="CUST108"/>
    <d v="2025-09-18T00:00:00"/>
    <x v="3"/>
    <s v="Dresses"/>
    <n v="5"/>
    <n v="80"/>
    <n v="400"/>
    <x v="1"/>
    <x v="1"/>
  </r>
  <r>
    <s v="ORD311"/>
    <s v="CUST167"/>
    <d v="2025-03-30T00:00:00"/>
    <x v="3"/>
    <s v="Dresses"/>
    <n v="10"/>
    <n v="80"/>
    <n v="800"/>
    <x v="2"/>
    <x v="1"/>
  </r>
  <r>
    <s v="ORD312"/>
    <s v="CUST075"/>
    <d v="2025-09-05T00:00:00"/>
    <x v="0"/>
    <s v="Outwear"/>
    <n v="8"/>
    <n v="120"/>
    <n v="960"/>
    <x v="2"/>
    <x v="0"/>
  </r>
  <r>
    <s v="ORD313"/>
    <s v="CUST123"/>
    <d v="2025-09-11T00:00:00"/>
    <x v="0"/>
    <s v="Outwear"/>
    <n v="4"/>
    <n v="120"/>
    <n v="480"/>
    <x v="2"/>
    <x v="1"/>
  </r>
  <r>
    <s v="ORD314"/>
    <s v="CUST107"/>
    <d v="2025-03-22T00:00:00"/>
    <x v="0"/>
    <s v="Outwear"/>
    <n v="9"/>
    <n v="120"/>
    <n v="1080"/>
    <x v="3"/>
    <x v="1"/>
  </r>
  <r>
    <s v="ORD315"/>
    <s v="CUST105"/>
    <d v="2025-01-25T00:00:00"/>
    <x v="0"/>
    <s v="Outwear"/>
    <n v="9"/>
    <n v="120"/>
    <n v="1080"/>
    <x v="0"/>
    <x v="1"/>
  </r>
  <r>
    <s v="ORD316"/>
    <s v="CUST054"/>
    <d v="2025-08-20T00:00:00"/>
    <x v="2"/>
    <s v="Footwear"/>
    <n v="7"/>
    <n v="90"/>
    <n v="630"/>
    <x v="0"/>
    <x v="0"/>
  </r>
  <r>
    <s v="ORD317"/>
    <s v="CUST091"/>
    <d v="2025-10-06T00:00:00"/>
    <x v="0"/>
    <s v="Outwear"/>
    <n v="8"/>
    <n v="120"/>
    <n v="960"/>
    <x v="1"/>
    <x v="1"/>
  </r>
  <r>
    <s v="ORD318"/>
    <s v="CUST093"/>
    <d v="2025-10-12T00:00:00"/>
    <x v="1"/>
    <s v="Bottoms"/>
    <n v="10"/>
    <n v="60"/>
    <n v="600"/>
    <x v="2"/>
    <x v="0"/>
  </r>
  <r>
    <s v="ORD319"/>
    <s v="CUST194"/>
    <d v="2025-11-19T00:00:00"/>
    <x v="3"/>
    <s v="Dresses"/>
    <n v="5"/>
    <n v="80"/>
    <n v="400"/>
    <x v="3"/>
    <x v="0"/>
  </r>
  <r>
    <s v="ORD320"/>
    <s v="CUST090"/>
    <d v="2025-06-12T00:00:00"/>
    <x v="2"/>
    <s v="Footwear"/>
    <n v="4"/>
    <n v="90"/>
    <n v="360"/>
    <x v="3"/>
    <x v="1"/>
  </r>
  <r>
    <s v="ORD321"/>
    <s v="CUST126"/>
    <d v="2025-09-03T00:00:00"/>
    <x v="4"/>
    <s v="Tops"/>
    <n v="4"/>
    <n v="25"/>
    <n v="100"/>
    <x v="2"/>
    <x v="1"/>
  </r>
  <r>
    <s v="ORD322"/>
    <s v="CUST139"/>
    <d v="2025-10-14T00:00:00"/>
    <x v="4"/>
    <s v="Tops"/>
    <n v="7"/>
    <n v="25"/>
    <n v="175"/>
    <x v="1"/>
    <x v="2"/>
  </r>
  <r>
    <s v="ORD323"/>
    <s v="CUST159"/>
    <d v="2025-05-15T00:00:00"/>
    <x v="1"/>
    <s v="Bottoms"/>
    <n v="8"/>
    <n v="60"/>
    <n v="480"/>
    <x v="0"/>
    <x v="2"/>
  </r>
  <r>
    <s v="ORD324"/>
    <s v="CUST086"/>
    <d v="2025-02-07T00:00:00"/>
    <x v="4"/>
    <s v="Tops"/>
    <n v="4"/>
    <n v="25"/>
    <n v="100"/>
    <x v="0"/>
    <x v="1"/>
  </r>
  <r>
    <s v="ORD325"/>
    <s v="CUST083"/>
    <d v="2025-02-28T00:00:00"/>
    <x v="2"/>
    <s v="Footwear"/>
    <n v="3"/>
    <n v="90"/>
    <n v="270"/>
    <x v="2"/>
    <x v="1"/>
  </r>
  <r>
    <s v="ORD326"/>
    <s v="CUST114"/>
    <d v="2025-07-20T00:00:00"/>
    <x v="1"/>
    <s v="Bottoms"/>
    <n v="1"/>
    <n v="60"/>
    <n v="60"/>
    <x v="1"/>
    <x v="0"/>
  </r>
  <r>
    <s v="ORD327"/>
    <s v="CUST175"/>
    <d v="2025-03-08T00:00:00"/>
    <x v="3"/>
    <s v="Dresses"/>
    <n v="5"/>
    <n v="80"/>
    <n v="400"/>
    <x v="0"/>
    <x v="0"/>
  </r>
  <r>
    <s v="ORD328"/>
    <s v="CUST101"/>
    <d v="2025-04-09T00:00:00"/>
    <x v="0"/>
    <s v="Outwear"/>
    <n v="4"/>
    <n v="120"/>
    <n v="480"/>
    <x v="1"/>
    <x v="1"/>
  </r>
  <r>
    <s v="ORD329"/>
    <s v="CUST108"/>
    <d v="2025-04-29T00:00:00"/>
    <x v="1"/>
    <s v="Bottoms"/>
    <n v="6"/>
    <n v="60"/>
    <n v="360"/>
    <x v="1"/>
    <x v="1"/>
  </r>
  <r>
    <s v="ORD330"/>
    <s v="CUST143"/>
    <d v="2025-09-18T00:00:00"/>
    <x v="4"/>
    <s v="Tops"/>
    <n v="9"/>
    <n v="25"/>
    <n v="225"/>
    <x v="2"/>
    <x v="1"/>
  </r>
  <r>
    <s v="ORD331"/>
    <s v="CUST170"/>
    <d v="2025-12-05T00:00:00"/>
    <x v="4"/>
    <s v="Tops"/>
    <n v="2"/>
    <n v="25"/>
    <n v="50"/>
    <x v="1"/>
    <x v="1"/>
  </r>
  <r>
    <s v="ORD332"/>
    <s v="CUST039"/>
    <d v="2025-04-13T00:00:00"/>
    <x v="1"/>
    <s v="Bottoms"/>
    <n v="1"/>
    <n v="60"/>
    <n v="60"/>
    <x v="1"/>
    <x v="2"/>
  </r>
  <r>
    <s v="ORD333"/>
    <s v="CUST030"/>
    <d v="2025-02-22T00:00:00"/>
    <x v="0"/>
    <s v="Outwear"/>
    <n v="8"/>
    <n v="120"/>
    <n v="960"/>
    <x v="3"/>
    <x v="1"/>
  </r>
  <r>
    <s v="ORD334"/>
    <s v="CUST061"/>
    <d v="2025-01-26T00:00:00"/>
    <x v="0"/>
    <s v="Outwear"/>
    <n v="2"/>
    <n v="120"/>
    <n v="240"/>
    <x v="0"/>
    <x v="1"/>
  </r>
  <r>
    <s v="ORD335"/>
    <s v="CUST027"/>
    <d v="2025-01-24T00:00:00"/>
    <x v="4"/>
    <s v="Tops"/>
    <n v="1"/>
    <n v="25"/>
    <n v="25"/>
    <x v="3"/>
    <x v="1"/>
  </r>
  <r>
    <s v="ORD336"/>
    <s v="CUST009"/>
    <d v="2025-08-11T00:00:00"/>
    <x v="1"/>
    <s v="Bottoms"/>
    <n v="1"/>
    <n v="60"/>
    <n v="60"/>
    <x v="2"/>
    <x v="1"/>
  </r>
  <r>
    <s v="ORD337"/>
    <s v="CUST125"/>
    <d v="2025-06-24T00:00:00"/>
    <x v="2"/>
    <s v="Footwear"/>
    <n v="4"/>
    <n v="90"/>
    <n v="360"/>
    <x v="1"/>
    <x v="1"/>
  </r>
  <r>
    <s v="ORD338"/>
    <s v="CUST173"/>
    <d v="2025-10-23T00:00:00"/>
    <x v="4"/>
    <s v="Tops"/>
    <n v="4"/>
    <n v="25"/>
    <n v="100"/>
    <x v="0"/>
    <x v="0"/>
  </r>
  <r>
    <s v="ORD339"/>
    <s v="CUST162"/>
    <d v="2025-06-30T00:00:00"/>
    <x v="4"/>
    <s v="Tops"/>
    <n v="9"/>
    <n v="25"/>
    <n v="225"/>
    <x v="2"/>
    <x v="1"/>
  </r>
  <r>
    <s v="ORD340"/>
    <s v="CUST141"/>
    <d v="2025-02-28T00:00:00"/>
    <x v="0"/>
    <s v="Outwear"/>
    <n v="9"/>
    <n v="120"/>
    <n v="1080"/>
    <x v="2"/>
    <x v="1"/>
  </r>
  <r>
    <s v="ORD341"/>
    <s v="CUST008"/>
    <d v="2025-09-04T00:00:00"/>
    <x v="0"/>
    <s v="Outwear"/>
    <n v="9"/>
    <n v="120"/>
    <n v="1080"/>
    <x v="2"/>
    <x v="1"/>
  </r>
  <r>
    <s v="ORD342"/>
    <s v="CUST014"/>
    <d v="2025-10-19T00:00:00"/>
    <x v="3"/>
    <s v="Dresses"/>
    <n v="9"/>
    <n v="80"/>
    <n v="720"/>
    <x v="0"/>
    <x v="0"/>
  </r>
  <r>
    <s v="ORD343"/>
    <s v="CUST146"/>
    <d v="2025-06-08T00:00:00"/>
    <x v="4"/>
    <s v="Tops"/>
    <n v="5"/>
    <n v="25"/>
    <n v="125"/>
    <x v="2"/>
    <x v="1"/>
  </r>
  <r>
    <s v="ORD344"/>
    <s v="CUST123"/>
    <d v="2025-01-26T00:00:00"/>
    <x v="0"/>
    <s v="Outwear"/>
    <n v="7"/>
    <n v="120"/>
    <n v="840"/>
    <x v="0"/>
    <x v="1"/>
  </r>
  <r>
    <s v="ORD345"/>
    <s v="CUST124"/>
    <d v="2025-04-13T00:00:00"/>
    <x v="4"/>
    <s v="Tops"/>
    <n v="8"/>
    <n v="25"/>
    <n v="200"/>
    <x v="2"/>
    <x v="1"/>
  </r>
  <r>
    <s v="ORD346"/>
    <s v="CUST015"/>
    <d v="2025-11-23T00:00:00"/>
    <x v="4"/>
    <s v="Tops"/>
    <n v="9"/>
    <n v="25"/>
    <n v="225"/>
    <x v="1"/>
    <x v="0"/>
  </r>
  <r>
    <s v="ORD347"/>
    <s v="CUST011"/>
    <d v="2025-03-08T00:00:00"/>
    <x v="1"/>
    <s v="Bottoms"/>
    <n v="6"/>
    <n v="60"/>
    <n v="360"/>
    <x v="0"/>
    <x v="1"/>
  </r>
  <r>
    <s v="ORD348"/>
    <s v="CUST180"/>
    <d v="2025-01-07T00:00:00"/>
    <x v="3"/>
    <s v="Dresses"/>
    <n v="9"/>
    <n v="80"/>
    <n v="720"/>
    <x v="0"/>
    <x v="2"/>
  </r>
  <r>
    <s v="ORD349"/>
    <s v="CUST110"/>
    <d v="2025-07-13T00:00:00"/>
    <x v="4"/>
    <s v="Tops"/>
    <n v="5"/>
    <n v="25"/>
    <n v="125"/>
    <x v="3"/>
    <x v="1"/>
  </r>
  <r>
    <s v="ORD350"/>
    <s v="CUST144"/>
    <d v="2025-04-29T00:00:00"/>
    <x v="0"/>
    <s v="Outwear"/>
    <n v="9"/>
    <n v="120"/>
    <n v="1080"/>
    <x v="0"/>
    <x v="1"/>
  </r>
  <r>
    <s v="ORD351"/>
    <s v="CUST156"/>
    <d v="2025-07-04T00:00:00"/>
    <x v="1"/>
    <s v="Bottoms"/>
    <n v="9"/>
    <n v="60"/>
    <n v="540"/>
    <x v="0"/>
    <x v="0"/>
  </r>
  <r>
    <s v="ORD352"/>
    <s v="CUST125"/>
    <d v="2025-10-05T00:00:00"/>
    <x v="0"/>
    <s v="Outwear"/>
    <n v="9"/>
    <n v="120"/>
    <n v="1080"/>
    <x v="2"/>
    <x v="1"/>
  </r>
  <r>
    <s v="ORD353"/>
    <s v="CUST136"/>
    <d v="2025-11-01T00:00:00"/>
    <x v="2"/>
    <s v="Footwear"/>
    <n v="8"/>
    <n v="90"/>
    <n v="720"/>
    <x v="3"/>
    <x v="0"/>
  </r>
  <r>
    <s v="ORD354"/>
    <s v="CUST129"/>
    <d v="2025-02-25T00:00:00"/>
    <x v="2"/>
    <s v="Footwear"/>
    <n v="7"/>
    <n v="90"/>
    <n v="630"/>
    <x v="2"/>
    <x v="1"/>
  </r>
  <r>
    <s v="ORD355"/>
    <s v="CUST105"/>
    <d v="2025-10-17T00:00:00"/>
    <x v="1"/>
    <s v="Bottoms"/>
    <n v="2"/>
    <n v="60"/>
    <n v="120"/>
    <x v="0"/>
    <x v="1"/>
  </r>
  <r>
    <s v="ORD356"/>
    <s v="CUST143"/>
    <d v="2025-07-23T00:00:00"/>
    <x v="2"/>
    <s v="Footwear"/>
    <n v="10"/>
    <n v="90"/>
    <n v="900"/>
    <x v="0"/>
    <x v="1"/>
  </r>
  <r>
    <s v="ORD357"/>
    <s v="CUST050"/>
    <d v="2025-09-08T00:00:00"/>
    <x v="3"/>
    <s v="Dresses"/>
    <n v="1"/>
    <n v="80"/>
    <n v="80"/>
    <x v="2"/>
    <x v="1"/>
  </r>
  <r>
    <s v="ORD358"/>
    <s v="CUST182"/>
    <d v="2025-12-31T00:00:00"/>
    <x v="0"/>
    <s v="Outwear"/>
    <n v="2"/>
    <n v="120"/>
    <n v="240"/>
    <x v="3"/>
    <x v="1"/>
  </r>
  <r>
    <s v="ORD359"/>
    <s v="CUST097"/>
    <d v="2025-06-29T00:00:00"/>
    <x v="1"/>
    <s v="Bottoms"/>
    <n v="10"/>
    <n v="60"/>
    <n v="600"/>
    <x v="1"/>
    <x v="0"/>
  </r>
  <r>
    <s v="ORD360"/>
    <s v="CUST191"/>
    <d v="2025-01-13T00:00:00"/>
    <x v="2"/>
    <s v="Footwear"/>
    <n v="7"/>
    <n v="90"/>
    <n v="630"/>
    <x v="3"/>
    <x v="1"/>
  </r>
  <r>
    <s v="ORD361"/>
    <s v="CUST062"/>
    <d v="2025-10-01T00:00:00"/>
    <x v="1"/>
    <s v="Bottoms"/>
    <n v="3"/>
    <n v="60"/>
    <n v="180"/>
    <x v="1"/>
    <x v="1"/>
  </r>
  <r>
    <s v="ORD362"/>
    <s v="CUST050"/>
    <d v="2025-09-24T00:00:00"/>
    <x v="0"/>
    <s v="Outwear"/>
    <n v="10"/>
    <n v="120"/>
    <n v="1200"/>
    <x v="2"/>
    <x v="1"/>
  </r>
  <r>
    <s v="ORD363"/>
    <s v="CUST030"/>
    <d v="2025-02-02T00:00:00"/>
    <x v="2"/>
    <s v="Footwear"/>
    <n v="9"/>
    <n v="90"/>
    <n v="810"/>
    <x v="3"/>
    <x v="1"/>
  </r>
  <r>
    <s v="ORD364"/>
    <s v="CUST121"/>
    <d v="2025-09-04T00:00:00"/>
    <x v="1"/>
    <s v="Bottoms"/>
    <n v="4"/>
    <n v="60"/>
    <n v="240"/>
    <x v="2"/>
    <x v="1"/>
  </r>
  <r>
    <s v="ORD365"/>
    <s v="CUST198"/>
    <d v="2025-06-30T00:00:00"/>
    <x v="0"/>
    <s v="Outwear"/>
    <n v="7"/>
    <n v="120"/>
    <n v="840"/>
    <x v="1"/>
    <x v="2"/>
  </r>
  <r>
    <s v="ORD366"/>
    <s v="CUST103"/>
    <d v="2025-10-04T00:00:00"/>
    <x v="1"/>
    <s v="Bottoms"/>
    <n v="7"/>
    <n v="60"/>
    <n v="420"/>
    <x v="2"/>
    <x v="1"/>
  </r>
  <r>
    <s v="ORD367"/>
    <s v="CUST142"/>
    <d v="2025-08-15T00:00:00"/>
    <x v="3"/>
    <s v="Dresses"/>
    <n v="7"/>
    <n v="80"/>
    <n v="560"/>
    <x v="2"/>
    <x v="1"/>
  </r>
  <r>
    <s v="ORD368"/>
    <s v="CUST197"/>
    <d v="2025-12-03T00:00:00"/>
    <x v="1"/>
    <s v="Bottoms"/>
    <n v="4"/>
    <n v="60"/>
    <n v="240"/>
    <x v="1"/>
    <x v="0"/>
  </r>
  <r>
    <s v="ORD369"/>
    <s v="CUST122"/>
    <d v="2025-12-15T00:00:00"/>
    <x v="0"/>
    <s v="Outwear"/>
    <n v="9"/>
    <n v="120"/>
    <n v="1080"/>
    <x v="3"/>
    <x v="1"/>
  </r>
  <r>
    <s v="ORD370"/>
    <s v="CUST051"/>
    <d v="2025-02-05T00:00:00"/>
    <x v="3"/>
    <s v="Dresses"/>
    <n v="8"/>
    <n v="80"/>
    <n v="640"/>
    <x v="2"/>
    <x v="1"/>
  </r>
  <r>
    <s v="ORD371"/>
    <s v="CUST085"/>
    <d v="2025-04-20T00:00:00"/>
    <x v="4"/>
    <s v="Tops"/>
    <n v="8"/>
    <n v="25"/>
    <n v="200"/>
    <x v="1"/>
    <x v="1"/>
  </r>
  <r>
    <s v="ORD372"/>
    <s v="CUST124"/>
    <d v="2025-06-21T00:00:00"/>
    <x v="3"/>
    <s v="Dresses"/>
    <n v="6"/>
    <n v="80"/>
    <n v="480"/>
    <x v="0"/>
    <x v="1"/>
  </r>
  <r>
    <s v="ORD373"/>
    <s v="CUST147"/>
    <d v="2025-10-09T00:00:00"/>
    <x v="1"/>
    <s v="Bottoms"/>
    <n v="5"/>
    <n v="60"/>
    <n v="300"/>
    <x v="1"/>
    <x v="1"/>
  </r>
  <r>
    <s v="ORD374"/>
    <s v="CUST148"/>
    <d v="2025-08-01T00:00:00"/>
    <x v="4"/>
    <s v="Tops"/>
    <n v="1"/>
    <n v="25"/>
    <n v="25"/>
    <x v="1"/>
    <x v="1"/>
  </r>
  <r>
    <s v="ORD375"/>
    <s v="CUST056"/>
    <d v="2025-05-05T00:00:00"/>
    <x v="1"/>
    <s v="Bottoms"/>
    <n v="7"/>
    <n v="60"/>
    <n v="420"/>
    <x v="2"/>
    <x v="0"/>
  </r>
  <r>
    <s v="ORD376"/>
    <s v="CUST140"/>
    <d v="2025-12-20T00:00:00"/>
    <x v="3"/>
    <s v="Dresses"/>
    <n v="2"/>
    <n v="80"/>
    <n v="160"/>
    <x v="0"/>
    <x v="2"/>
  </r>
  <r>
    <s v="ORD377"/>
    <s v="CUST117"/>
    <d v="2025-03-01T00:00:00"/>
    <x v="4"/>
    <s v="Tops"/>
    <n v="10"/>
    <n v="25"/>
    <n v="250"/>
    <x v="1"/>
    <x v="0"/>
  </r>
  <r>
    <s v="ORD378"/>
    <s v="CUST103"/>
    <d v="2025-02-22T00:00:00"/>
    <x v="1"/>
    <s v="Bottoms"/>
    <n v="10"/>
    <n v="60"/>
    <n v="600"/>
    <x v="0"/>
    <x v="1"/>
  </r>
  <r>
    <s v="ORD379"/>
    <s v="CUST196"/>
    <d v="2025-08-31T00:00:00"/>
    <x v="3"/>
    <s v="Dresses"/>
    <n v="6"/>
    <n v="80"/>
    <n v="480"/>
    <x v="1"/>
    <x v="0"/>
  </r>
  <r>
    <s v="ORD380"/>
    <s v="CUST007"/>
    <d v="2025-02-12T00:00:00"/>
    <x v="4"/>
    <s v="Tops"/>
    <n v="1"/>
    <n v="25"/>
    <n v="25"/>
    <x v="0"/>
    <x v="1"/>
  </r>
  <r>
    <s v="ORD381"/>
    <s v="CUST053"/>
    <d v="2025-12-29T00:00:00"/>
    <x v="1"/>
    <s v="Bottoms"/>
    <n v="3"/>
    <n v="60"/>
    <n v="180"/>
    <x v="1"/>
    <x v="0"/>
  </r>
  <r>
    <s v="ORD382"/>
    <s v="CUST115"/>
    <d v="2025-12-15T00:00:00"/>
    <x v="2"/>
    <s v="Footwear"/>
    <n v="8"/>
    <n v="90"/>
    <n v="720"/>
    <x v="1"/>
    <x v="0"/>
  </r>
  <r>
    <s v="ORD383"/>
    <s v="CUST083"/>
    <d v="2025-01-22T00:00:00"/>
    <x v="1"/>
    <s v="Bottoms"/>
    <n v="5"/>
    <n v="60"/>
    <n v="300"/>
    <x v="2"/>
    <x v="1"/>
  </r>
  <r>
    <s v="ORD384"/>
    <s v="CUST127"/>
    <d v="2025-07-12T00:00:00"/>
    <x v="1"/>
    <s v="Bottoms"/>
    <n v="6"/>
    <n v="60"/>
    <n v="360"/>
    <x v="0"/>
    <x v="1"/>
  </r>
  <r>
    <s v="ORD385"/>
    <s v="CUST175"/>
    <d v="2025-08-21T00:00:00"/>
    <x v="0"/>
    <s v="Outwear"/>
    <n v="4"/>
    <n v="120"/>
    <n v="480"/>
    <x v="1"/>
    <x v="0"/>
  </r>
  <r>
    <s v="ORD386"/>
    <s v="CUST195"/>
    <d v="2025-03-16T00:00:00"/>
    <x v="2"/>
    <s v="Footwear"/>
    <n v="5"/>
    <n v="90"/>
    <n v="450"/>
    <x v="0"/>
    <x v="0"/>
  </r>
  <r>
    <s v="ORD387"/>
    <s v="CUST113"/>
    <d v="2025-02-24T00:00:00"/>
    <x v="0"/>
    <s v="Outwear"/>
    <n v="5"/>
    <n v="120"/>
    <n v="600"/>
    <x v="3"/>
    <x v="0"/>
  </r>
  <r>
    <s v="ORD388"/>
    <s v="CUST181"/>
    <d v="2025-12-19T00:00:00"/>
    <x v="0"/>
    <s v="Outwear"/>
    <n v="2"/>
    <n v="120"/>
    <n v="240"/>
    <x v="1"/>
    <x v="1"/>
  </r>
  <r>
    <s v="ORD389"/>
    <s v="CUST042"/>
    <d v="2025-09-20T00:00:00"/>
    <x v="3"/>
    <s v="Dresses"/>
    <n v="5"/>
    <n v="80"/>
    <n v="400"/>
    <x v="0"/>
    <x v="1"/>
  </r>
  <r>
    <s v="ORD390"/>
    <s v="CUST127"/>
    <d v="2025-05-04T00:00:00"/>
    <x v="3"/>
    <s v="Dresses"/>
    <n v="10"/>
    <n v="80"/>
    <n v="800"/>
    <x v="3"/>
    <x v="1"/>
  </r>
  <r>
    <s v="ORD391"/>
    <s v="CUST109"/>
    <d v="2025-12-23T00:00:00"/>
    <x v="2"/>
    <s v="Footwear"/>
    <n v="6"/>
    <n v="90"/>
    <n v="540"/>
    <x v="2"/>
    <x v="1"/>
  </r>
  <r>
    <s v="ORD392"/>
    <s v="CUST154"/>
    <d v="2025-09-07T00:00:00"/>
    <x v="1"/>
    <s v="Bottoms"/>
    <n v="1"/>
    <n v="60"/>
    <n v="60"/>
    <x v="1"/>
    <x v="0"/>
  </r>
  <r>
    <s v="ORD393"/>
    <s v="CUST073"/>
    <d v="2025-01-18T00:00:00"/>
    <x v="4"/>
    <s v="Tops"/>
    <n v="5"/>
    <n v="25"/>
    <n v="125"/>
    <x v="3"/>
    <x v="0"/>
  </r>
  <r>
    <s v="ORD394"/>
    <s v="CUST099"/>
    <d v="2025-02-27T00:00:00"/>
    <x v="1"/>
    <s v="Bottoms"/>
    <n v="10"/>
    <n v="60"/>
    <n v="600"/>
    <x v="0"/>
    <x v="2"/>
  </r>
  <r>
    <s v="ORD395"/>
    <s v="CUST134"/>
    <d v="2025-09-11T00:00:00"/>
    <x v="2"/>
    <s v="Footwear"/>
    <n v="8"/>
    <n v="90"/>
    <n v="720"/>
    <x v="0"/>
    <x v="0"/>
  </r>
  <r>
    <s v="ORD396"/>
    <s v="CUST022"/>
    <d v="2025-06-18T00:00:00"/>
    <x v="4"/>
    <s v="Tops"/>
    <n v="9"/>
    <n v="25"/>
    <n v="225"/>
    <x v="3"/>
    <x v="1"/>
  </r>
  <r>
    <s v="ORD397"/>
    <s v="CUST001"/>
    <d v="2025-09-11T00:00:00"/>
    <x v="3"/>
    <s v="Dresses"/>
    <n v="9"/>
    <n v="80"/>
    <n v="720"/>
    <x v="0"/>
    <x v="1"/>
  </r>
  <r>
    <s v="ORD398"/>
    <s v="CUST127"/>
    <d v="2025-10-14T00:00:00"/>
    <x v="2"/>
    <s v="Footwear"/>
    <n v="5"/>
    <n v="90"/>
    <n v="450"/>
    <x v="1"/>
    <x v="1"/>
  </r>
  <r>
    <s v="ORD399"/>
    <s v="CUST025"/>
    <d v="2025-05-13T00:00:00"/>
    <x v="1"/>
    <s v="Bottoms"/>
    <n v="8"/>
    <n v="60"/>
    <n v="480"/>
    <x v="2"/>
    <x v="1"/>
  </r>
  <r>
    <s v="ORD400"/>
    <s v="CUST086"/>
    <d v="2025-07-26T00:00:00"/>
    <x v="4"/>
    <s v="Tops"/>
    <n v="6"/>
    <n v="25"/>
    <n v="150"/>
    <x v="2"/>
    <x v="1"/>
  </r>
  <r>
    <s v="ORD401"/>
    <s v="CUST087"/>
    <d v="2025-04-06T00:00:00"/>
    <x v="4"/>
    <s v="Tops"/>
    <n v="7"/>
    <n v="25"/>
    <n v="175"/>
    <x v="3"/>
    <x v="1"/>
  </r>
  <r>
    <s v="ORD402"/>
    <s v="CUST195"/>
    <d v="2025-06-05T00:00:00"/>
    <x v="2"/>
    <s v="Footwear"/>
    <n v="7"/>
    <n v="90"/>
    <n v="630"/>
    <x v="0"/>
    <x v="0"/>
  </r>
  <r>
    <s v="ORD403"/>
    <s v="CUST075"/>
    <d v="2025-05-03T00:00:00"/>
    <x v="3"/>
    <s v="Dresses"/>
    <n v="4"/>
    <n v="80"/>
    <n v="320"/>
    <x v="1"/>
    <x v="0"/>
  </r>
  <r>
    <s v="ORD404"/>
    <s v="CUST037"/>
    <d v="2025-10-13T00:00:00"/>
    <x v="2"/>
    <s v="Footwear"/>
    <n v="5"/>
    <n v="90"/>
    <n v="450"/>
    <x v="3"/>
    <x v="0"/>
  </r>
  <r>
    <s v="ORD405"/>
    <s v="CUST118"/>
    <d v="2025-07-13T00:00:00"/>
    <x v="4"/>
    <s v="Tops"/>
    <n v="8"/>
    <n v="25"/>
    <n v="200"/>
    <x v="0"/>
    <x v="2"/>
  </r>
  <r>
    <s v="ORD406"/>
    <s v="CUST137"/>
    <d v="2025-07-01T00:00:00"/>
    <x v="0"/>
    <s v="Outwear"/>
    <n v="2"/>
    <n v="120"/>
    <n v="240"/>
    <x v="1"/>
    <x v="0"/>
  </r>
  <r>
    <s v="ORD407"/>
    <s v="CUST003"/>
    <d v="2025-06-26T00:00:00"/>
    <x v="2"/>
    <s v="Footwear"/>
    <n v="4"/>
    <n v="90"/>
    <n v="360"/>
    <x v="0"/>
    <x v="1"/>
  </r>
  <r>
    <s v="ORD408"/>
    <s v="CUST082"/>
    <d v="2025-11-05T00:00:00"/>
    <x v="3"/>
    <s v="Dresses"/>
    <n v="4"/>
    <n v="80"/>
    <n v="320"/>
    <x v="2"/>
    <x v="1"/>
  </r>
  <r>
    <s v="ORD409"/>
    <s v="CUST016"/>
    <d v="2025-12-30T00:00:00"/>
    <x v="0"/>
    <s v="Outwear"/>
    <n v="5"/>
    <n v="120"/>
    <n v="600"/>
    <x v="1"/>
    <x v="0"/>
  </r>
  <r>
    <s v="ORD410"/>
    <s v="CUST127"/>
    <d v="2025-05-04T00:00:00"/>
    <x v="2"/>
    <s v="Footwear"/>
    <n v="3"/>
    <n v="90"/>
    <n v="270"/>
    <x v="1"/>
    <x v="1"/>
  </r>
  <r>
    <s v="ORD411"/>
    <s v="CUST015"/>
    <d v="2025-03-15T00:00:00"/>
    <x v="2"/>
    <s v="Footwear"/>
    <n v="3"/>
    <n v="90"/>
    <n v="270"/>
    <x v="0"/>
    <x v="0"/>
  </r>
  <r>
    <s v="ORD412"/>
    <s v="CUST174"/>
    <d v="2025-05-04T00:00:00"/>
    <x v="0"/>
    <s v="Outwear"/>
    <n v="5"/>
    <n v="120"/>
    <n v="600"/>
    <x v="2"/>
    <x v="0"/>
  </r>
  <r>
    <s v="ORD413"/>
    <s v="CUST135"/>
    <d v="2025-05-01T00:00:00"/>
    <x v="0"/>
    <s v="Outwear"/>
    <n v="5"/>
    <n v="120"/>
    <n v="600"/>
    <x v="1"/>
    <x v="0"/>
  </r>
  <r>
    <s v="ORD414"/>
    <s v="CUST008"/>
    <d v="2025-09-27T00:00:00"/>
    <x v="1"/>
    <s v="Bottoms"/>
    <n v="7"/>
    <n v="60"/>
    <n v="420"/>
    <x v="2"/>
    <x v="1"/>
  </r>
  <r>
    <s v="ORD415"/>
    <s v="CUST160"/>
    <d v="2025-10-27T00:00:00"/>
    <x v="2"/>
    <s v="Footwear"/>
    <n v="2"/>
    <n v="90"/>
    <n v="180"/>
    <x v="2"/>
    <x v="2"/>
  </r>
  <r>
    <s v="ORD416"/>
    <s v="CUST143"/>
    <d v="2025-02-08T00:00:00"/>
    <x v="3"/>
    <s v="Dresses"/>
    <n v="7"/>
    <n v="80"/>
    <n v="560"/>
    <x v="1"/>
    <x v="1"/>
  </r>
  <r>
    <s v="ORD417"/>
    <s v="CUST122"/>
    <d v="2025-08-17T00:00:00"/>
    <x v="2"/>
    <s v="Footwear"/>
    <n v="3"/>
    <n v="90"/>
    <n v="270"/>
    <x v="0"/>
    <x v="1"/>
  </r>
  <r>
    <s v="ORD418"/>
    <s v="CUST152"/>
    <d v="2025-04-04T00:00:00"/>
    <x v="3"/>
    <s v="Dresses"/>
    <n v="1"/>
    <n v="80"/>
    <n v="80"/>
    <x v="0"/>
    <x v="1"/>
  </r>
  <r>
    <s v="ORD419"/>
    <s v="CUST100"/>
    <d v="2025-03-14T00:00:00"/>
    <x v="1"/>
    <s v="Bottoms"/>
    <n v="8"/>
    <n v="60"/>
    <n v="480"/>
    <x v="0"/>
    <x v="2"/>
  </r>
  <r>
    <s v="ORD420"/>
    <s v="CUST045"/>
    <d v="2025-02-04T00:00:00"/>
    <x v="1"/>
    <s v="Bottoms"/>
    <n v="1"/>
    <n v="60"/>
    <n v="60"/>
    <x v="1"/>
    <x v="1"/>
  </r>
  <r>
    <s v="ORD421"/>
    <s v="CUST127"/>
    <d v="2025-03-01T00:00:00"/>
    <x v="0"/>
    <s v="Outwear"/>
    <n v="3"/>
    <n v="120"/>
    <n v="360"/>
    <x v="0"/>
    <x v="1"/>
  </r>
  <r>
    <s v="ORD422"/>
    <s v="CUST033"/>
    <d v="2025-11-11T00:00:00"/>
    <x v="0"/>
    <s v="Outwear"/>
    <n v="9"/>
    <n v="120"/>
    <n v="1080"/>
    <x v="2"/>
    <x v="0"/>
  </r>
  <r>
    <s v="ORD423"/>
    <s v="CUST114"/>
    <d v="2025-11-25T00:00:00"/>
    <x v="3"/>
    <s v="Dresses"/>
    <n v="6"/>
    <n v="80"/>
    <n v="480"/>
    <x v="2"/>
    <x v="0"/>
  </r>
  <r>
    <s v="ORD424"/>
    <s v="CUST122"/>
    <d v="2025-07-19T00:00:00"/>
    <x v="3"/>
    <s v="Dresses"/>
    <n v="3"/>
    <n v="80"/>
    <n v="240"/>
    <x v="1"/>
    <x v="1"/>
  </r>
  <r>
    <s v="ORD425"/>
    <s v="CUST132"/>
    <d v="2025-01-06T00:00:00"/>
    <x v="4"/>
    <s v="Tops"/>
    <n v="5"/>
    <n v="25"/>
    <n v="125"/>
    <x v="3"/>
    <x v="1"/>
  </r>
  <r>
    <s v="ORD426"/>
    <s v="CUST137"/>
    <d v="2025-02-05T00:00:00"/>
    <x v="3"/>
    <s v="Dresses"/>
    <n v="5"/>
    <n v="80"/>
    <n v="400"/>
    <x v="3"/>
    <x v="0"/>
  </r>
  <r>
    <s v="ORD427"/>
    <s v="CUST157"/>
    <d v="2025-03-03T00:00:00"/>
    <x v="4"/>
    <s v="Tops"/>
    <n v="3"/>
    <n v="25"/>
    <n v="75"/>
    <x v="0"/>
    <x v="0"/>
  </r>
  <r>
    <s v="ORD428"/>
    <s v="CUST121"/>
    <d v="2025-11-23T00:00:00"/>
    <x v="1"/>
    <s v="Bottoms"/>
    <n v="7"/>
    <n v="60"/>
    <n v="420"/>
    <x v="0"/>
    <x v="1"/>
  </r>
  <r>
    <s v="ORD429"/>
    <s v="CUST197"/>
    <d v="2025-02-27T00:00:00"/>
    <x v="0"/>
    <s v="Outwear"/>
    <n v="9"/>
    <n v="120"/>
    <n v="1080"/>
    <x v="0"/>
    <x v="0"/>
  </r>
  <r>
    <s v="ORD430"/>
    <s v="CUST007"/>
    <d v="2025-09-03T00:00:00"/>
    <x v="4"/>
    <s v="Tops"/>
    <n v="5"/>
    <n v="25"/>
    <n v="125"/>
    <x v="0"/>
    <x v="1"/>
  </r>
  <r>
    <s v="ORD431"/>
    <s v="CUST157"/>
    <d v="2025-01-27T00:00:00"/>
    <x v="0"/>
    <s v="Outwear"/>
    <n v="5"/>
    <n v="120"/>
    <n v="600"/>
    <x v="1"/>
    <x v="0"/>
  </r>
  <r>
    <s v="ORD432"/>
    <s v="CUST178"/>
    <d v="2025-04-28T00:00:00"/>
    <x v="3"/>
    <s v="Dresses"/>
    <n v="10"/>
    <n v="80"/>
    <n v="800"/>
    <x v="1"/>
    <x v="2"/>
  </r>
  <r>
    <s v="ORD433"/>
    <s v="CUST143"/>
    <d v="2025-10-02T00:00:00"/>
    <x v="2"/>
    <s v="Footwear"/>
    <n v="10"/>
    <n v="90"/>
    <n v="900"/>
    <x v="2"/>
    <x v="1"/>
  </r>
  <r>
    <s v="ORD434"/>
    <s v="CUST188"/>
    <d v="2025-07-11T00:00:00"/>
    <x v="1"/>
    <s v="Bottoms"/>
    <n v="5"/>
    <n v="60"/>
    <n v="300"/>
    <x v="2"/>
    <x v="1"/>
  </r>
  <r>
    <s v="ORD435"/>
    <s v="CUST005"/>
    <d v="2025-09-20T00:00:00"/>
    <x v="4"/>
    <s v="Tops"/>
    <n v="4"/>
    <n v="25"/>
    <n v="100"/>
    <x v="0"/>
    <x v="1"/>
  </r>
  <r>
    <s v="ORD436"/>
    <s v="CUST198"/>
    <d v="2025-07-14T00:00:00"/>
    <x v="0"/>
    <s v="Outwear"/>
    <n v="7"/>
    <n v="120"/>
    <n v="840"/>
    <x v="3"/>
    <x v="2"/>
  </r>
  <r>
    <s v="ORD437"/>
    <s v="CUST020"/>
    <d v="2025-05-03T00:00:00"/>
    <x v="3"/>
    <s v="Dresses"/>
    <n v="9"/>
    <n v="80"/>
    <n v="720"/>
    <x v="0"/>
    <x v="2"/>
  </r>
  <r>
    <s v="ORD438"/>
    <s v="CUST124"/>
    <d v="2025-04-18T00:00:00"/>
    <x v="2"/>
    <s v="Footwear"/>
    <n v="3"/>
    <n v="90"/>
    <n v="270"/>
    <x v="2"/>
    <x v="1"/>
  </r>
  <r>
    <s v="ORD439"/>
    <s v="CUST187"/>
    <d v="2025-02-17T00:00:00"/>
    <x v="3"/>
    <s v="Dresses"/>
    <n v="5"/>
    <n v="80"/>
    <n v="400"/>
    <x v="2"/>
    <x v="1"/>
  </r>
  <r>
    <s v="ORD440"/>
    <s v="CUST175"/>
    <d v="2025-10-06T00:00:00"/>
    <x v="0"/>
    <s v="Outwear"/>
    <n v="7"/>
    <n v="120"/>
    <n v="840"/>
    <x v="3"/>
    <x v="0"/>
  </r>
  <r>
    <s v="ORD441"/>
    <s v="CUST135"/>
    <d v="2025-11-08T00:00:00"/>
    <x v="1"/>
    <s v="Bottoms"/>
    <n v="9"/>
    <n v="60"/>
    <n v="540"/>
    <x v="3"/>
    <x v="0"/>
  </r>
  <r>
    <s v="ORD442"/>
    <s v="CUST041"/>
    <d v="2025-10-30T00:00:00"/>
    <x v="0"/>
    <s v="Outwear"/>
    <n v="3"/>
    <n v="120"/>
    <n v="360"/>
    <x v="1"/>
    <x v="1"/>
  </r>
  <r>
    <s v="ORD443"/>
    <s v="CUST146"/>
    <d v="2025-04-16T00:00:00"/>
    <x v="4"/>
    <s v="Tops"/>
    <n v="8"/>
    <n v="25"/>
    <n v="200"/>
    <x v="1"/>
    <x v="1"/>
  </r>
  <r>
    <s v="ORD444"/>
    <s v="CUST002"/>
    <d v="2025-10-26T00:00:00"/>
    <x v="3"/>
    <s v="Dresses"/>
    <n v="2"/>
    <n v="80"/>
    <n v="160"/>
    <x v="1"/>
    <x v="1"/>
  </r>
  <r>
    <s v="ORD445"/>
    <s v="CUST031"/>
    <d v="2025-01-17T00:00:00"/>
    <x v="4"/>
    <s v="Tops"/>
    <n v="4"/>
    <n v="25"/>
    <n v="100"/>
    <x v="0"/>
    <x v="1"/>
  </r>
  <r>
    <s v="ORD446"/>
    <s v="CUST084"/>
    <d v="2025-05-31T00:00:00"/>
    <x v="4"/>
    <s v="Tops"/>
    <n v="6"/>
    <n v="25"/>
    <n v="150"/>
    <x v="3"/>
    <x v="1"/>
  </r>
  <r>
    <s v="ORD447"/>
    <s v="CUST115"/>
    <d v="2025-08-02T00:00:00"/>
    <x v="1"/>
    <s v="Bottoms"/>
    <n v="4"/>
    <n v="60"/>
    <n v="240"/>
    <x v="0"/>
    <x v="0"/>
  </r>
  <r>
    <s v="ORD448"/>
    <s v="CUST045"/>
    <d v="2025-09-17T00:00:00"/>
    <x v="0"/>
    <s v="Outwear"/>
    <n v="3"/>
    <n v="120"/>
    <n v="360"/>
    <x v="0"/>
    <x v="1"/>
  </r>
  <r>
    <s v="ORD449"/>
    <s v="CUST025"/>
    <d v="2025-04-30T00:00:00"/>
    <x v="3"/>
    <s v="Dresses"/>
    <n v="8"/>
    <n v="80"/>
    <n v="640"/>
    <x v="0"/>
    <x v="1"/>
  </r>
  <r>
    <s v="ORD450"/>
    <s v="CUST137"/>
    <d v="2025-02-02T00:00:00"/>
    <x v="4"/>
    <s v="Tops"/>
    <n v="3"/>
    <n v="25"/>
    <n v="75"/>
    <x v="3"/>
    <x v="0"/>
  </r>
  <r>
    <s v="ORD451"/>
    <s v="CUST145"/>
    <d v="2025-12-26T00:00:00"/>
    <x v="3"/>
    <s v="Dresses"/>
    <n v="6"/>
    <n v="80"/>
    <n v="480"/>
    <x v="1"/>
    <x v="1"/>
  </r>
  <r>
    <s v="ORD452"/>
    <s v="CUST034"/>
    <d v="2025-09-24T00:00:00"/>
    <x v="2"/>
    <s v="Footwear"/>
    <n v="5"/>
    <n v="90"/>
    <n v="450"/>
    <x v="0"/>
    <x v="0"/>
  </r>
  <r>
    <s v="ORD453"/>
    <s v="CUST198"/>
    <d v="2025-08-15T00:00:00"/>
    <x v="2"/>
    <s v="Footwear"/>
    <n v="8"/>
    <n v="90"/>
    <n v="720"/>
    <x v="3"/>
    <x v="2"/>
  </r>
  <r>
    <s v="ORD454"/>
    <s v="CUST092"/>
    <d v="2025-01-19T00:00:00"/>
    <x v="1"/>
    <s v="Bottoms"/>
    <n v="3"/>
    <n v="60"/>
    <n v="180"/>
    <x v="1"/>
    <x v="1"/>
  </r>
  <r>
    <s v="ORD455"/>
    <s v="CUST107"/>
    <d v="2025-11-10T00:00:00"/>
    <x v="2"/>
    <s v="Footwear"/>
    <n v="4"/>
    <n v="90"/>
    <n v="360"/>
    <x v="3"/>
    <x v="1"/>
  </r>
  <r>
    <s v="ORD456"/>
    <s v="CUST145"/>
    <d v="2025-07-05T00:00:00"/>
    <x v="0"/>
    <s v="Outwear"/>
    <n v="7"/>
    <n v="120"/>
    <n v="840"/>
    <x v="1"/>
    <x v="1"/>
  </r>
  <r>
    <s v="ORD457"/>
    <s v="CUST035"/>
    <d v="2025-05-04T00:00:00"/>
    <x v="3"/>
    <s v="Dresses"/>
    <n v="6"/>
    <n v="80"/>
    <n v="480"/>
    <x v="0"/>
    <x v="0"/>
  </r>
  <r>
    <s v="ORD458"/>
    <s v="CUST076"/>
    <d v="2025-06-11T00:00:00"/>
    <x v="4"/>
    <s v="Tops"/>
    <n v="1"/>
    <n v="25"/>
    <n v="25"/>
    <x v="2"/>
    <x v="0"/>
  </r>
  <r>
    <s v="ORD459"/>
    <s v="CUST035"/>
    <d v="2025-10-23T00:00:00"/>
    <x v="1"/>
    <s v="Bottoms"/>
    <n v="7"/>
    <n v="60"/>
    <n v="420"/>
    <x v="3"/>
    <x v="0"/>
  </r>
  <r>
    <s v="ORD460"/>
    <s v="CUST115"/>
    <d v="2025-08-01T00:00:00"/>
    <x v="4"/>
    <s v="Tops"/>
    <n v="3"/>
    <n v="25"/>
    <n v="75"/>
    <x v="2"/>
    <x v="0"/>
  </r>
  <r>
    <s v="ORD461"/>
    <s v="CUST193"/>
    <d v="2025-09-27T00:00:00"/>
    <x v="0"/>
    <s v="Outwear"/>
    <n v="3"/>
    <n v="120"/>
    <n v="360"/>
    <x v="2"/>
    <x v="0"/>
  </r>
  <r>
    <s v="ORD462"/>
    <s v="CUST089"/>
    <d v="2025-05-16T00:00:00"/>
    <x v="2"/>
    <s v="Footwear"/>
    <n v="3"/>
    <n v="90"/>
    <n v="270"/>
    <x v="1"/>
    <x v="1"/>
  </r>
  <r>
    <s v="ORD463"/>
    <s v="CUST005"/>
    <d v="2025-11-01T00:00:00"/>
    <x v="0"/>
    <s v="Outwear"/>
    <n v="8"/>
    <n v="120"/>
    <n v="960"/>
    <x v="1"/>
    <x v="1"/>
  </r>
  <r>
    <s v="ORD464"/>
    <s v="CUST100"/>
    <d v="2025-01-10T00:00:00"/>
    <x v="1"/>
    <s v="Bottoms"/>
    <n v="10"/>
    <n v="60"/>
    <n v="600"/>
    <x v="0"/>
    <x v="2"/>
  </r>
  <r>
    <s v="ORD465"/>
    <s v="CUST175"/>
    <d v="2025-03-11T00:00:00"/>
    <x v="2"/>
    <s v="Footwear"/>
    <n v="6"/>
    <n v="90"/>
    <n v="540"/>
    <x v="0"/>
    <x v="0"/>
  </r>
  <r>
    <s v="ORD466"/>
    <s v="CUST039"/>
    <d v="2025-11-19T00:00:00"/>
    <x v="2"/>
    <s v="Footwear"/>
    <n v="3"/>
    <n v="90"/>
    <n v="270"/>
    <x v="3"/>
    <x v="2"/>
  </r>
  <r>
    <s v="ORD467"/>
    <s v="CUST097"/>
    <d v="2025-02-08T00:00:00"/>
    <x v="3"/>
    <s v="Dresses"/>
    <n v="1"/>
    <n v="80"/>
    <n v="80"/>
    <x v="1"/>
    <x v="0"/>
  </r>
  <r>
    <s v="ORD468"/>
    <s v="CUST078"/>
    <d v="2025-07-09T00:00:00"/>
    <x v="0"/>
    <s v="Outwear"/>
    <n v="7"/>
    <n v="120"/>
    <n v="840"/>
    <x v="2"/>
    <x v="2"/>
  </r>
  <r>
    <s v="ORD469"/>
    <s v="CUST195"/>
    <d v="2025-09-18T00:00:00"/>
    <x v="1"/>
    <s v="Bottoms"/>
    <n v="4"/>
    <n v="60"/>
    <n v="240"/>
    <x v="3"/>
    <x v="0"/>
  </r>
  <r>
    <s v="ORD470"/>
    <s v="CUST156"/>
    <d v="2025-10-14T00:00:00"/>
    <x v="2"/>
    <s v="Footwear"/>
    <n v="10"/>
    <n v="90"/>
    <n v="900"/>
    <x v="3"/>
    <x v="0"/>
  </r>
  <r>
    <s v="ORD471"/>
    <s v="CUST064"/>
    <d v="2025-03-05T00:00:00"/>
    <x v="3"/>
    <s v="Dresses"/>
    <n v="4"/>
    <n v="80"/>
    <n v="320"/>
    <x v="2"/>
    <x v="1"/>
  </r>
  <r>
    <s v="ORD472"/>
    <s v="CUST021"/>
    <d v="2025-01-25T00:00:00"/>
    <x v="4"/>
    <s v="Tops"/>
    <n v="8"/>
    <n v="25"/>
    <n v="200"/>
    <x v="0"/>
    <x v="1"/>
  </r>
  <r>
    <s v="ORD473"/>
    <s v="CUST111"/>
    <d v="2025-01-22T00:00:00"/>
    <x v="0"/>
    <s v="Outwear"/>
    <n v="6"/>
    <n v="120"/>
    <n v="720"/>
    <x v="2"/>
    <x v="1"/>
  </r>
  <r>
    <s v="ORD474"/>
    <s v="CUST194"/>
    <d v="2025-11-20T00:00:00"/>
    <x v="3"/>
    <s v="Dresses"/>
    <n v="1"/>
    <n v="80"/>
    <n v="80"/>
    <x v="2"/>
    <x v="0"/>
  </r>
  <r>
    <s v="ORD475"/>
    <s v="CUST001"/>
    <d v="2025-05-12T00:00:00"/>
    <x v="2"/>
    <s v="Footwear"/>
    <n v="7"/>
    <n v="90"/>
    <n v="630"/>
    <x v="0"/>
    <x v="1"/>
  </r>
  <r>
    <s v="ORD476"/>
    <s v="CUST192"/>
    <d v="2025-07-14T00:00:00"/>
    <x v="0"/>
    <s v="Outwear"/>
    <n v="8"/>
    <n v="120"/>
    <n v="960"/>
    <x v="3"/>
    <x v="1"/>
  </r>
  <r>
    <s v="ORD477"/>
    <s v="CUST092"/>
    <d v="2025-07-14T00:00:00"/>
    <x v="1"/>
    <s v="Bottoms"/>
    <n v="2"/>
    <n v="60"/>
    <n v="120"/>
    <x v="1"/>
    <x v="1"/>
  </r>
  <r>
    <s v="ORD478"/>
    <s v="CUST040"/>
    <d v="2025-10-08T00:00:00"/>
    <x v="2"/>
    <s v="Footwear"/>
    <n v="5"/>
    <n v="90"/>
    <n v="450"/>
    <x v="3"/>
    <x v="2"/>
  </r>
  <r>
    <s v="ORD479"/>
    <s v="CUST184"/>
    <d v="2025-05-25T00:00:00"/>
    <x v="2"/>
    <s v="Footwear"/>
    <n v="3"/>
    <n v="90"/>
    <n v="270"/>
    <x v="2"/>
    <x v="1"/>
  </r>
  <r>
    <s v="ORD480"/>
    <s v="CUST083"/>
    <d v="2025-02-17T00:00:00"/>
    <x v="4"/>
    <s v="Tops"/>
    <n v="8"/>
    <n v="25"/>
    <n v="200"/>
    <x v="1"/>
    <x v="1"/>
  </r>
  <r>
    <s v="ORD481"/>
    <s v="CUST033"/>
    <d v="2025-07-23T00:00:00"/>
    <x v="0"/>
    <s v="Outwear"/>
    <n v="8"/>
    <n v="120"/>
    <n v="960"/>
    <x v="2"/>
    <x v="0"/>
  </r>
  <r>
    <s v="ORD482"/>
    <s v="CUST199"/>
    <d v="2025-04-18T00:00:00"/>
    <x v="1"/>
    <s v="Bottoms"/>
    <n v="5"/>
    <n v="60"/>
    <n v="300"/>
    <x v="1"/>
    <x v="2"/>
  </r>
  <r>
    <s v="ORD483"/>
    <s v="CUST036"/>
    <d v="2025-11-15T00:00:00"/>
    <x v="0"/>
    <s v="Outwear"/>
    <n v="2"/>
    <n v="120"/>
    <n v="240"/>
    <x v="2"/>
    <x v="0"/>
  </r>
  <r>
    <s v="ORD484"/>
    <s v="CUST039"/>
    <d v="2025-10-21T00:00:00"/>
    <x v="3"/>
    <s v="Dresses"/>
    <n v="5"/>
    <n v="80"/>
    <n v="400"/>
    <x v="0"/>
    <x v="2"/>
  </r>
  <r>
    <s v="ORD485"/>
    <s v="CUST084"/>
    <d v="2025-12-11T00:00:00"/>
    <x v="2"/>
    <s v="Footwear"/>
    <n v="8"/>
    <n v="90"/>
    <n v="720"/>
    <x v="2"/>
    <x v="1"/>
  </r>
  <r>
    <s v="ORD486"/>
    <s v="CUST001"/>
    <d v="2025-06-04T00:00:00"/>
    <x v="2"/>
    <s v="Footwear"/>
    <n v="3"/>
    <n v="90"/>
    <n v="270"/>
    <x v="3"/>
    <x v="1"/>
  </r>
  <r>
    <s v="ORD487"/>
    <s v="CUST124"/>
    <d v="2025-06-26T00:00:00"/>
    <x v="4"/>
    <s v="Tops"/>
    <n v="5"/>
    <n v="25"/>
    <n v="125"/>
    <x v="1"/>
    <x v="1"/>
  </r>
  <r>
    <s v="ORD488"/>
    <s v="CUST043"/>
    <d v="2025-07-26T00:00:00"/>
    <x v="0"/>
    <s v="Outwear"/>
    <n v="1"/>
    <n v="120"/>
    <n v="120"/>
    <x v="1"/>
    <x v="1"/>
  </r>
  <r>
    <s v="ORD489"/>
    <s v="CUST194"/>
    <d v="2025-08-10T00:00:00"/>
    <x v="4"/>
    <s v="Tops"/>
    <n v="7"/>
    <n v="25"/>
    <n v="175"/>
    <x v="1"/>
    <x v="0"/>
  </r>
  <r>
    <s v="ORD490"/>
    <s v="CUST063"/>
    <d v="2025-07-21T00:00:00"/>
    <x v="4"/>
    <s v="Tops"/>
    <n v="9"/>
    <n v="25"/>
    <n v="225"/>
    <x v="2"/>
    <x v="1"/>
  </r>
  <r>
    <s v="ORD491"/>
    <s v="CUST102"/>
    <d v="2025-04-16T00:00:00"/>
    <x v="0"/>
    <s v="Outwear"/>
    <n v="3"/>
    <n v="120"/>
    <n v="360"/>
    <x v="2"/>
    <x v="1"/>
  </r>
  <r>
    <s v="ORD492"/>
    <s v="CUST138"/>
    <d v="2025-11-28T00:00:00"/>
    <x v="1"/>
    <s v="Bottoms"/>
    <n v="4"/>
    <n v="60"/>
    <n v="240"/>
    <x v="0"/>
    <x v="2"/>
  </r>
  <r>
    <s v="ORD493"/>
    <s v="CUST127"/>
    <d v="2025-10-26T00:00:00"/>
    <x v="3"/>
    <s v="Dresses"/>
    <n v="9"/>
    <n v="80"/>
    <n v="720"/>
    <x v="0"/>
    <x v="1"/>
  </r>
  <r>
    <s v="ORD494"/>
    <s v="CUST154"/>
    <d v="2025-09-24T00:00:00"/>
    <x v="1"/>
    <s v="Bottoms"/>
    <n v="4"/>
    <n v="60"/>
    <n v="240"/>
    <x v="3"/>
    <x v="0"/>
  </r>
  <r>
    <s v="ORD495"/>
    <s v="CUST102"/>
    <d v="2025-04-25T00:00:00"/>
    <x v="1"/>
    <s v="Bottoms"/>
    <n v="6"/>
    <n v="60"/>
    <n v="360"/>
    <x v="2"/>
    <x v="1"/>
  </r>
  <r>
    <s v="ORD496"/>
    <s v="CUST129"/>
    <d v="2025-08-30T00:00:00"/>
    <x v="4"/>
    <s v="Tops"/>
    <n v="5"/>
    <n v="25"/>
    <n v="125"/>
    <x v="1"/>
    <x v="1"/>
  </r>
  <r>
    <s v="ORD497"/>
    <s v="CUST139"/>
    <d v="2025-04-25T00:00:00"/>
    <x v="3"/>
    <s v="Dresses"/>
    <n v="10"/>
    <n v="80"/>
    <n v="800"/>
    <x v="3"/>
    <x v="2"/>
  </r>
  <r>
    <s v="ORD498"/>
    <s v="CUST079"/>
    <d v="2025-05-07T00:00:00"/>
    <x v="4"/>
    <s v="Tops"/>
    <n v="8"/>
    <n v="25"/>
    <n v="200"/>
    <x v="2"/>
    <x v="2"/>
  </r>
  <r>
    <s v="ORD499"/>
    <s v="CUST162"/>
    <d v="2025-10-03T00:00:00"/>
    <x v="0"/>
    <s v="Outwear"/>
    <n v="4"/>
    <n v="120"/>
    <n v="480"/>
    <x v="1"/>
    <x v="1"/>
  </r>
  <r>
    <s v="ORD500"/>
    <s v="CUST040"/>
    <d v="2025-06-19T00:00:00"/>
    <x v="0"/>
    <s v="Outwear"/>
    <n v="1"/>
    <n v="120"/>
    <n v="120"/>
    <x v="3"/>
    <x v="2"/>
  </r>
  <r>
    <s v="ORD501"/>
    <s v="CUST181"/>
    <d v="2025-06-19T00:00:00"/>
    <x v="0"/>
    <s v="Outwear"/>
    <n v="7"/>
    <n v="120"/>
    <n v="840"/>
    <x v="2"/>
    <x v="1"/>
  </r>
  <r>
    <s v="ORD502"/>
    <s v="CUST119"/>
    <d v="2025-10-07T00:00:00"/>
    <x v="4"/>
    <s v="Tops"/>
    <n v="9"/>
    <n v="25"/>
    <n v="225"/>
    <x v="0"/>
    <x v="2"/>
  </r>
  <r>
    <s v="ORD503"/>
    <s v="CUST159"/>
    <d v="2025-02-27T00:00:00"/>
    <x v="1"/>
    <s v="Bottoms"/>
    <n v="4"/>
    <n v="60"/>
    <n v="240"/>
    <x v="2"/>
    <x v="2"/>
  </r>
  <r>
    <s v="ORD504"/>
    <s v="CUST103"/>
    <d v="2025-10-24T00:00:00"/>
    <x v="3"/>
    <s v="Dresses"/>
    <n v="1"/>
    <n v="80"/>
    <n v="80"/>
    <x v="2"/>
    <x v="1"/>
  </r>
  <r>
    <s v="ORD505"/>
    <s v="CUST120"/>
    <d v="2025-11-07T00:00:00"/>
    <x v="1"/>
    <s v="Bottoms"/>
    <n v="6"/>
    <n v="60"/>
    <n v="360"/>
    <x v="3"/>
    <x v="2"/>
  </r>
  <r>
    <s v="ORD506"/>
    <s v="CUST095"/>
    <d v="2025-08-02T00:00:00"/>
    <x v="4"/>
    <s v="Tops"/>
    <n v="6"/>
    <n v="25"/>
    <n v="150"/>
    <x v="1"/>
    <x v="0"/>
  </r>
  <r>
    <s v="ORD507"/>
    <s v="CUST157"/>
    <d v="2025-09-26T00:00:00"/>
    <x v="2"/>
    <s v="Footwear"/>
    <n v="5"/>
    <n v="90"/>
    <n v="450"/>
    <x v="3"/>
    <x v="0"/>
  </r>
  <r>
    <s v="ORD508"/>
    <s v="CUST165"/>
    <d v="2025-01-25T00:00:00"/>
    <x v="3"/>
    <s v="Dresses"/>
    <n v="2"/>
    <n v="80"/>
    <n v="160"/>
    <x v="0"/>
    <x v="1"/>
  </r>
  <r>
    <s v="ORD509"/>
    <s v="CUST149"/>
    <d v="2025-03-05T00:00:00"/>
    <x v="3"/>
    <s v="Dresses"/>
    <n v="6"/>
    <n v="80"/>
    <n v="480"/>
    <x v="0"/>
    <x v="1"/>
  </r>
  <r>
    <s v="ORD510"/>
    <s v="CUST115"/>
    <d v="2025-11-03T00:00:00"/>
    <x v="1"/>
    <s v="Bottoms"/>
    <n v="1"/>
    <n v="60"/>
    <n v="60"/>
    <x v="1"/>
    <x v="0"/>
  </r>
  <r>
    <s v="ORD511"/>
    <s v="CUST114"/>
    <d v="2025-11-22T00:00:00"/>
    <x v="3"/>
    <s v="Dresses"/>
    <n v="1"/>
    <n v="80"/>
    <n v="80"/>
    <x v="3"/>
    <x v="0"/>
  </r>
  <r>
    <s v="ORD512"/>
    <s v="CUST054"/>
    <d v="2025-06-10T00:00:00"/>
    <x v="1"/>
    <s v="Bottoms"/>
    <n v="7"/>
    <n v="60"/>
    <n v="420"/>
    <x v="2"/>
    <x v="0"/>
  </r>
  <r>
    <s v="ORD513"/>
    <s v="CUST084"/>
    <d v="2025-07-27T00:00:00"/>
    <x v="2"/>
    <s v="Footwear"/>
    <n v="7"/>
    <n v="90"/>
    <n v="630"/>
    <x v="1"/>
    <x v="1"/>
  </r>
  <r>
    <s v="ORD514"/>
    <s v="CUST034"/>
    <d v="2025-09-06T00:00:00"/>
    <x v="2"/>
    <s v="Footwear"/>
    <n v="2"/>
    <n v="90"/>
    <n v="180"/>
    <x v="1"/>
    <x v="0"/>
  </r>
  <r>
    <s v="ORD515"/>
    <s v="CUST104"/>
    <d v="2025-08-17T00:00:00"/>
    <x v="0"/>
    <s v="Outwear"/>
    <n v="6"/>
    <n v="120"/>
    <n v="720"/>
    <x v="2"/>
    <x v="1"/>
  </r>
  <r>
    <s v="ORD516"/>
    <s v="CUST026"/>
    <d v="2025-03-06T00:00:00"/>
    <x v="3"/>
    <s v="Dresses"/>
    <n v="2"/>
    <n v="80"/>
    <n v="160"/>
    <x v="2"/>
    <x v="1"/>
  </r>
  <r>
    <s v="ORD517"/>
    <s v="CUST083"/>
    <d v="2025-06-17T00:00:00"/>
    <x v="3"/>
    <s v="Dresses"/>
    <n v="2"/>
    <n v="80"/>
    <n v="160"/>
    <x v="0"/>
    <x v="1"/>
  </r>
  <r>
    <s v="ORD518"/>
    <s v="CUST079"/>
    <d v="2025-01-14T00:00:00"/>
    <x v="3"/>
    <s v="Dresses"/>
    <n v="1"/>
    <n v="80"/>
    <n v="80"/>
    <x v="1"/>
    <x v="2"/>
  </r>
  <r>
    <s v="ORD519"/>
    <s v="CUST145"/>
    <d v="2025-03-02T00:00:00"/>
    <x v="1"/>
    <s v="Bottoms"/>
    <n v="10"/>
    <n v="60"/>
    <n v="600"/>
    <x v="1"/>
    <x v="1"/>
  </r>
  <r>
    <s v="ORD520"/>
    <s v="CUST108"/>
    <d v="2025-06-27T00:00:00"/>
    <x v="4"/>
    <s v="Tops"/>
    <n v="3"/>
    <n v="25"/>
    <n v="75"/>
    <x v="0"/>
    <x v="1"/>
  </r>
  <r>
    <s v="ORD521"/>
    <s v="CUST095"/>
    <d v="2025-08-31T00:00:00"/>
    <x v="4"/>
    <s v="Tops"/>
    <n v="9"/>
    <n v="25"/>
    <n v="225"/>
    <x v="2"/>
    <x v="0"/>
  </r>
  <r>
    <s v="ORD522"/>
    <s v="CUST184"/>
    <d v="2025-01-23T00:00:00"/>
    <x v="0"/>
    <s v="Outwear"/>
    <n v="6"/>
    <n v="120"/>
    <n v="720"/>
    <x v="2"/>
    <x v="1"/>
  </r>
  <r>
    <s v="ORD523"/>
    <s v="CUST150"/>
    <d v="2025-05-23T00:00:00"/>
    <x v="1"/>
    <s v="Bottoms"/>
    <n v="8"/>
    <n v="60"/>
    <n v="480"/>
    <x v="3"/>
    <x v="1"/>
  </r>
  <r>
    <s v="ORD524"/>
    <s v="CUST079"/>
    <d v="2025-05-15T00:00:00"/>
    <x v="0"/>
    <s v="Outwear"/>
    <n v="6"/>
    <n v="120"/>
    <n v="720"/>
    <x v="1"/>
    <x v="2"/>
  </r>
  <r>
    <s v="ORD525"/>
    <s v="CUST127"/>
    <d v="2025-01-27T00:00:00"/>
    <x v="0"/>
    <s v="Outwear"/>
    <n v="6"/>
    <n v="120"/>
    <n v="720"/>
    <x v="2"/>
    <x v="1"/>
  </r>
  <r>
    <s v="ORD526"/>
    <s v="CUST047"/>
    <d v="2025-12-17T00:00:00"/>
    <x v="2"/>
    <s v="Footwear"/>
    <n v="2"/>
    <n v="90"/>
    <n v="180"/>
    <x v="3"/>
    <x v="1"/>
  </r>
  <r>
    <s v="ORD527"/>
    <s v="CUST182"/>
    <d v="2025-11-26T00:00:00"/>
    <x v="4"/>
    <s v="Tops"/>
    <n v="2"/>
    <n v="25"/>
    <n v="50"/>
    <x v="2"/>
    <x v="1"/>
  </r>
  <r>
    <s v="ORD528"/>
    <s v="CUST032"/>
    <d v="2025-08-29T00:00:00"/>
    <x v="0"/>
    <s v="Outwear"/>
    <n v="6"/>
    <n v="120"/>
    <n v="720"/>
    <x v="0"/>
    <x v="1"/>
  </r>
  <r>
    <s v="ORD529"/>
    <s v="CUST129"/>
    <d v="2025-08-17T00:00:00"/>
    <x v="2"/>
    <s v="Footwear"/>
    <n v="8"/>
    <n v="90"/>
    <n v="720"/>
    <x v="2"/>
    <x v="1"/>
  </r>
  <r>
    <s v="ORD530"/>
    <s v="CUST020"/>
    <d v="2025-09-23T00:00:00"/>
    <x v="3"/>
    <s v="Dresses"/>
    <n v="9"/>
    <n v="80"/>
    <n v="720"/>
    <x v="0"/>
    <x v="2"/>
  </r>
  <r>
    <s v="ORD531"/>
    <s v="CUST091"/>
    <d v="2025-12-23T00:00:00"/>
    <x v="2"/>
    <s v="Footwear"/>
    <n v="6"/>
    <n v="90"/>
    <n v="540"/>
    <x v="2"/>
    <x v="1"/>
  </r>
  <r>
    <s v="ORD532"/>
    <s v="CUST171"/>
    <d v="2025-08-14T00:00:00"/>
    <x v="0"/>
    <s v="Outwear"/>
    <n v="5"/>
    <n v="120"/>
    <n v="600"/>
    <x v="0"/>
    <x v="1"/>
  </r>
  <r>
    <s v="ORD533"/>
    <s v="CUST178"/>
    <d v="2025-04-12T00:00:00"/>
    <x v="0"/>
    <s v="Outwear"/>
    <n v="10"/>
    <n v="120"/>
    <n v="1200"/>
    <x v="2"/>
    <x v="2"/>
  </r>
  <r>
    <s v="ORD534"/>
    <s v="CUST101"/>
    <d v="2025-07-20T00:00:00"/>
    <x v="4"/>
    <s v="Tops"/>
    <n v="8"/>
    <n v="25"/>
    <n v="200"/>
    <x v="3"/>
    <x v="1"/>
  </r>
  <r>
    <s v="ORD535"/>
    <s v="CUST001"/>
    <d v="2025-04-04T00:00:00"/>
    <x v="0"/>
    <s v="Outwear"/>
    <n v="3"/>
    <n v="120"/>
    <n v="360"/>
    <x v="3"/>
    <x v="1"/>
  </r>
  <r>
    <s v="ORD536"/>
    <s v="CUST020"/>
    <d v="2025-06-16T00:00:00"/>
    <x v="3"/>
    <s v="Dresses"/>
    <n v="9"/>
    <n v="80"/>
    <n v="720"/>
    <x v="0"/>
    <x v="2"/>
  </r>
  <r>
    <s v="ORD537"/>
    <s v="CUST190"/>
    <d v="2025-11-12T00:00:00"/>
    <x v="4"/>
    <s v="Tops"/>
    <n v="9"/>
    <n v="25"/>
    <n v="225"/>
    <x v="1"/>
    <x v="1"/>
  </r>
  <r>
    <s v="ORD538"/>
    <s v="CUST189"/>
    <d v="2025-05-07T00:00:00"/>
    <x v="2"/>
    <s v="Footwear"/>
    <n v="3"/>
    <n v="90"/>
    <n v="270"/>
    <x v="2"/>
    <x v="1"/>
  </r>
  <r>
    <s v="ORD539"/>
    <s v="CUST177"/>
    <d v="2025-09-09T00:00:00"/>
    <x v="0"/>
    <s v="Outwear"/>
    <n v="9"/>
    <n v="120"/>
    <n v="1080"/>
    <x v="0"/>
    <x v="0"/>
  </r>
  <r>
    <s v="ORD540"/>
    <s v="CUST030"/>
    <d v="2025-09-06T00:00:00"/>
    <x v="1"/>
    <s v="Bottoms"/>
    <n v="10"/>
    <n v="60"/>
    <n v="600"/>
    <x v="2"/>
    <x v="1"/>
  </r>
  <r>
    <s v="ORD541"/>
    <s v="CUST031"/>
    <d v="2025-03-22T00:00:00"/>
    <x v="0"/>
    <s v="Outwear"/>
    <n v="6"/>
    <n v="120"/>
    <n v="720"/>
    <x v="0"/>
    <x v="1"/>
  </r>
  <r>
    <s v="ORD542"/>
    <s v="CUST091"/>
    <d v="2025-07-05T00:00:00"/>
    <x v="0"/>
    <s v="Outwear"/>
    <n v="5"/>
    <n v="120"/>
    <n v="600"/>
    <x v="1"/>
    <x v="1"/>
  </r>
  <r>
    <s v="ORD543"/>
    <s v="CUST097"/>
    <d v="2025-01-13T00:00:00"/>
    <x v="4"/>
    <s v="Tops"/>
    <n v="9"/>
    <n v="25"/>
    <n v="225"/>
    <x v="2"/>
    <x v="0"/>
  </r>
  <r>
    <s v="ORD544"/>
    <s v="CUST107"/>
    <d v="2025-04-07T00:00:00"/>
    <x v="1"/>
    <s v="Bottoms"/>
    <n v="1"/>
    <n v="60"/>
    <n v="60"/>
    <x v="1"/>
    <x v="1"/>
  </r>
  <r>
    <s v="ORD545"/>
    <s v="CUST130"/>
    <d v="2025-02-01T00:00:00"/>
    <x v="4"/>
    <s v="Tops"/>
    <n v="6"/>
    <n v="25"/>
    <n v="150"/>
    <x v="3"/>
    <x v="1"/>
  </r>
  <r>
    <s v="ORD546"/>
    <s v="CUST017"/>
    <d v="2025-04-19T00:00:00"/>
    <x v="4"/>
    <s v="Tops"/>
    <n v="9"/>
    <n v="25"/>
    <n v="225"/>
    <x v="1"/>
    <x v="0"/>
  </r>
  <r>
    <s v="ORD547"/>
    <s v="CUST083"/>
    <d v="2025-06-09T00:00:00"/>
    <x v="0"/>
    <s v="Outwear"/>
    <n v="8"/>
    <n v="120"/>
    <n v="960"/>
    <x v="1"/>
    <x v="1"/>
  </r>
  <r>
    <s v="ORD548"/>
    <s v="CUST056"/>
    <d v="2025-12-08T00:00:00"/>
    <x v="1"/>
    <s v="Bottoms"/>
    <n v="10"/>
    <n v="60"/>
    <n v="600"/>
    <x v="0"/>
    <x v="0"/>
  </r>
  <r>
    <s v="ORD549"/>
    <s v="CUST035"/>
    <d v="2025-12-24T00:00:00"/>
    <x v="2"/>
    <s v="Footwear"/>
    <n v="3"/>
    <n v="90"/>
    <n v="270"/>
    <x v="1"/>
    <x v="0"/>
  </r>
  <r>
    <s v="ORD550"/>
    <s v="CUST136"/>
    <d v="2025-06-30T00:00:00"/>
    <x v="2"/>
    <s v="Footwear"/>
    <n v="4"/>
    <n v="90"/>
    <n v="360"/>
    <x v="2"/>
    <x v="0"/>
  </r>
  <r>
    <s v="ORD551"/>
    <s v="CUST124"/>
    <d v="2025-06-19T00:00:00"/>
    <x v="1"/>
    <s v="Bottoms"/>
    <n v="2"/>
    <n v="60"/>
    <n v="120"/>
    <x v="2"/>
    <x v="1"/>
  </r>
  <r>
    <s v="ORD552"/>
    <s v="CUST099"/>
    <d v="2025-05-21T00:00:00"/>
    <x v="3"/>
    <s v="Dresses"/>
    <n v="2"/>
    <n v="80"/>
    <n v="160"/>
    <x v="0"/>
    <x v="2"/>
  </r>
  <r>
    <s v="ORD553"/>
    <s v="CUST058"/>
    <d v="2025-01-26T00:00:00"/>
    <x v="1"/>
    <s v="Bottoms"/>
    <n v="3"/>
    <n v="60"/>
    <n v="180"/>
    <x v="2"/>
    <x v="2"/>
  </r>
  <r>
    <s v="ORD554"/>
    <s v="CUST011"/>
    <d v="2025-08-01T00:00:00"/>
    <x v="4"/>
    <s v="Tops"/>
    <n v="10"/>
    <n v="25"/>
    <n v="250"/>
    <x v="2"/>
    <x v="1"/>
  </r>
  <r>
    <s v="ORD555"/>
    <s v="CUST092"/>
    <d v="2025-05-25T00:00:00"/>
    <x v="0"/>
    <s v="Outwear"/>
    <n v="10"/>
    <n v="120"/>
    <n v="1200"/>
    <x v="2"/>
    <x v="1"/>
  </r>
  <r>
    <s v="ORD556"/>
    <s v="CUST055"/>
    <d v="2025-05-01T00:00:00"/>
    <x v="0"/>
    <s v="Outwear"/>
    <n v="3"/>
    <n v="120"/>
    <n v="360"/>
    <x v="0"/>
    <x v="0"/>
  </r>
  <r>
    <s v="ORD557"/>
    <s v="CUST134"/>
    <d v="2025-01-14T00:00:00"/>
    <x v="0"/>
    <s v="Outwear"/>
    <n v="8"/>
    <n v="120"/>
    <n v="960"/>
    <x v="2"/>
    <x v="0"/>
  </r>
  <r>
    <s v="ORD558"/>
    <s v="CUST019"/>
    <d v="2025-07-28T00:00:00"/>
    <x v="4"/>
    <s v="Tops"/>
    <n v="2"/>
    <n v="25"/>
    <n v="50"/>
    <x v="2"/>
    <x v="2"/>
  </r>
  <r>
    <s v="ORD559"/>
    <s v="CUST196"/>
    <d v="2025-12-15T00:00:00"/>
    <x v="2"/>
    <s v="Footwear"/>
    <n v="8"/>
    <n v="90"/>
    <n v="720"/>
    <x v="0"/>
    <x v="0"/>
  </r>
  <r>
    <s v="ORD560"/>
    <s v="CUST111"/>
    <d v="2025-09-19T00:00:00"/>
    <x v="3"/>
    <s v="Dresses"/>
    <n v="2"/>
    <n v="80"/>
    <n v="160"/>
    <x v="2"/>
    <x v="1"/>
  </r>
  <r>
    <s v="ORD561"/>
    <s v="CUST118"/>
    <d v="2025-05-23T00:00:00"/>
    <x v="4"/>
    <s v="Tops"/>
    <n v="1"/>
    <n v="25"/>
    <n v="25"/>
    <x v="0"/>
    <x v="2"/>
  </r>
  <r>
    <s v="ORD562"/>
    <s v="CUST008"/>
    <d v="2025-07-25T00:00:00"/>
    <x v="1"/>
    <s v="Bottoms"/>
    <n v="6"/>
    <n v="60"/>
    <n v="360"/>
    <x v="2"/>
    <x v="1"/>
  </r>
  <r>
    <s v="ORD563"/>
    <s v="CUST055"/>
    <d v="2025-08-06T00:00:00"/>
    <x v="4"/>
    <s v="Tops"/>
    <n v="7"/>
    <n v="25"/>
    <n v="175"/>
    <x v="2"/>
    <x v="0"/>
  </r>
  <r>
    <s v="ORD564"/>
    <s v="CUST126"/>
    <d v="2025-05-07T00:00:00"/>
    <x v="3"/>
    <s v="Dresses"/>
    <n v="3"/>
    <n v="80"/>
    <n v="240"/>
    <x v="3"/>
    <x v="1"/>
  </r>
  <r>
    <s v="ORD565"/>
    <s v="CUST200"/>
    <d v="2025-02-05T00:00:00"/>
    <x v="3"/>
    <s v="Dresses"/>
    <n v="9"/>
    <n v="80"/>
    <n v="720"/>
    <x v="2"/>
    <x v="2"/>
  </r>
  <r>
    <s v="ORD566"/>
    <s v="CUST133"/>
    <d v="2025-10-16T00:00:00"/>
    <x v="3"/>
    <s v="Dresses"/>
    <n v="8"/>
    <n v="80"/>
    <n v="640"/>
    <x v="0"/>
    <x v="0"/>
  </r>
  <r>
    <s v="ORD567"/>
    <s v="CUST178"/>
    <d v="2025-06-02T00:00:00"/>
    <x v="3"/>
    <s v="Dresses"/>
    <n v="9"/>
    <n v="80"/>
    <n v="720"/>
    <x v="2"/>
    <x v="2"/>
  </r>
  <r>
    <s v="ORD568"/>
    <s v="CUST063"/>
    <d v="2025-08-01T00:00:00"/>
    <x v="0"/>
    <s v="Outwear"/>
    <n v="9"/>
    <n v="120"/>
    <n v="1080"/>
    <x v="0"/>
    <x v="1"/>
  </r>
  <r>
    <s v="ORD569"/>
    <s v="CUST155"/>
    <d v="2025-03-03T00:00:00"/>
    <x v="1"/>
    <s v="Bottoms"/>
    <n v="7"/>
    <n v="60"/>
    <n v="420"/>
    <x v="3"/>
    <x v="0"/>
  </r>
  <r>
    <s v="ORD570"/>
    <s v="CUST004"/>
    <d v="2025-05-22T00:00:00"/>
    <x v="1"/>
    <s v="Bottoms"/>
    <n v="7"/>
    <n v="60"/>
    <n v="420"/>
    <x v="2"/>
    <x v="1"/>
  </r>
  <r>
    <s v="ORD571"/>
    <s v="CUST066"/>
    <d v="2025-01-20T00:00:00"/>
    <x v="1"/>
    <s v="Bottoms"/>
    <n v="3"/>
    <n v="60"/>
    <n v="180"/>
    <x v="0"/>
    <x v="1"/>
  </r>
  <r>
    <s v="ORD572"/>
    <s v="CUST003"/>
    <d v="2025-07-05T00:00:00"/>
    <x v="4"/>
    <s v="Tops"/>
    <n v="9"/>
    <n v="25"/>
    <n v="225"/>
    <x v="3"/>
    <x v="1"/>
  </r>
  <r>
    <s v="ORD573"/>
    <s v="CUST098"/>
    <d v="2025-06-18T00:00:00"/>
    <x v="1"/>
    <s v="Bottoms"/>
    <n v="5"/>
    <n v="60"/>
    <n v="300"/>
    <x v="1"/>
    <x v="2"/>
  </r>
  <r>
    <s v="ORD574"/>
    <s v="CUST077"/>
    <d v="2025-01-29T00:00:00"/>
    <x v="3"/>
    <s v="Dresses"/>
    <n v="10"/>
    <n v="80"/>
    <n v="800"/>
    <x v="0"/>
    <x v="0"/>
  </r>
  <r>
    <s v="ORD575"/>
    <s v="CUST020"/>
    <d v="2025-07-08T00:00:00"/>
    <x v="2"/>
    <s v="Footwear"/>
    <n v="9"/>
    <n v="90"/>
    <n v="810"/>
    <x v="2"/>
    <x v="2"/>
  </r>
  <r>
    <s v="ORD576"/>
    <s v="CUST059"/>
    <d v="2025-11-29T00:00:00"/>
    <x v="2"/>
    <s v="Footwear"/>
    <n v="1"/>
    <n v="90"/>
    <n v="90"/>
    <x v="0"/>
    <x v="2"/>
  </r>
  <r>
    <s v="ORD577"/>
    <s v="CUST105"/>
    <d v="2025-06-17T00:00:00"/>
    <x v="3"/>
    <s v="Dresses"/>
    <n v="10"/>
    <n v="80"/>
    <n v="800"/>
    <x v="0"/>
    <x v="1"/>
  </r>
  <r>
    <s v="ORD578"/>
    <s v="CUST109"/>
    <d v="2025-09-18T00:00:00"/>
    <x v="4"/>
    <s v="Tops"/>
    <n v="8"/>
    <n v="25"/>
    <n v="200"/>
    <x v="2"/>
    <x v="1"/>
  </r>
  <r>
    <s v="ORD579"/>
    <s v="CUST051"/>
    <d v="2025-03-16T00:00:00"/>
    <x v="4"/>
    <s v="Tops"/>
    <n v="8"/>
    <n v="25"/>
    <n v="200"/>
    <x v="2"/>
    <x v="1"/>
  </r>
  <r>
    <s v="ORD580"/>
    <s v="CUST146"/>
    <d v="2025-05-22T00:00:00"/>
    <x v="3"/>
    <s v="Dresses"/>
    <n v="3"/>
    <n v="80"/>
    <n v="240"/>
    <x v="0"/>
    <x v="1"/>
  </r>
  <r>
    <s v="ORD581"/>
    <s v="CUST149"/>
    <d v="2025-10-08T00:00:00"/>
    <x v="1"/>
    <s v="Bottoms"/>
    <n v="3"/>
    <n v="60"/>
    <n v="180"/>
    <x v="0"/>
    <x v="1"/>
  </r>
  <r>
    <s v="ORD582"/>
    <s v="CUST134"/>
    <d v="2025-06-14T00:00:00"/>
    <x v="1"/>
    <s v="Bottoms"/>
    <n v="9"/>
    <n v="60"/>
    <n v="540"/>
    <x v="0"/>
    <x v="0"/>
  </r>
  <r>
    <s v="ORD583"/>
    <s v="CUST175"/>
    <d v="2025-03-16T00:00:00"/>
    <x v="2"/>
    <s v="Footwear"/>
    <n v="9"/>
    <n v="90"/>
    <n v="810"/>
    <x v="1"/>
    <x v="0"/>
  </r>
  <r>
    <s v="ORD584"/>
    <s v="CUST038"/>
    <d v="2025-04-02T00:00:00"/>
    <x v="4"/>
    <s v="Tops"/>
    <n v="3"/>
    <n v="25"/>
    <n v="75"/>
    <x v="2"/>
    <x v="2"/>
  </r>
  <r>
    <s v="ORD585"/>
    <s v="CUST031"/>
    <d v="2025-06-25T00:00:00"/>
    <x v="0"/>
    <s v="Outwear"/>
    <n v="5"/>
    <n v="120"/>
    <n v="600"/>
    <x v="2"/>
    <x v="1"/>
  </r>
  <r>
    <s v="ORD586"/>
    <s v="CUST015"/>
    <d v="2025-06-03T00:00:00"/>
    <x v="0"/>
    <s v="Outwear"/>
    <n v="8"/>
    <n v="120"/>
    <n v="960"/>
    <x v="3"/>
    <x v="0"/>
  </r>
  <r>
    <s v="ORD587"/>
    <s v="CUST064"/>
    <d v="2025-09-09T00:00:00"/>
    <x v="2"/>
    <s v="Footwear"/>
    <n v="7"/>
    <n v="90"/>
    <n v="630"/>
    <x v="0"/>
    <x v="1"/>
  </r>
  <r>
    <s v="ORD588"/>
    <s v="CUST071"/>
    <d v="2025-07-17T00:00:00"/>
    <x v="0"/>
    <s v="Outwear"/>
    <n v="1"/>
    <n v="120"/>
    <n v="120"/>
    <x v="1"/>
    <x v="1"/>
  </r>
  <r>
    <s v="ORD589"/>
    <s v="CUST098"/>
    <d v="2025-12-13T00:00:00"/>
    <x v="0"/>
    <s v="Outwear"/>
    <n v="6"/>
    <n v="120"/>
    <n v="720"/>
    <x v="0"/>
    <x v="2"/>
  </r>
  <r>
    <s v="ORD590"/>
    <s v="CUST176"/>
    <d v="2025-02-22T00:00:00"/>
    <x v="3"/>
    <s v="Dresses"/>
    <n v="10"/>
    <n v="80"/>
    <n v="800"/>
    <x v="1"/>
    <x v="0"/>
  </r>
  <r>
    <s v="ORD591"/>
    <s v="CUST026"/>
    <d v="2025-02-17T00:00:00"/>
    <x v="2"/>
    <s v="Footwear"/>
    <n v="7"/>
    <n v="90"/>
    <n v="630"/>
    <x v="0"/>
    <x v="1"/>
  </r>
  <r>
    <s v="ORD592"/>
    <s v="CUST171"/>
    <d v="2025-11-01T00:00:00"/>
    <x v="0"/>
    <s v="Outwear"/>
    <n v="10"/>
    <n v="120"/>
    <n v="1200"/>
    <x v="1"/>
    <x v="1"/>
  </r>
  <r>
    <s v="ORD593"/>
    <s v="CUST028"/>
    <d v="2025-10-04T00:00:00"/>
    <x v="2"/>
    <s v="Footwear"/>
    <n v="7"/>
    <n v="90"/>
    <n v="630"/>
    <x v="1"/>
    <x v="1"/>
  </r>
  <r>
    <s v="ORD594"/>
    <s v="CUST092"/>
    <d v="2025-03-19T00:00:00"/>
    <x v="4"/>
    <s v="Tops"/>
    <n v="8"/>
    <n v="25"/>
    <n v="200"/>
    <x v="1"/>
    <x v="1"/>
  </r>
  <r>
    <s v="ORD595"/>
    <s v="CUST020"/>
    <d v="2025-09-20T00:00:00"/>
    <x v="3"/>
    <s v="Dresses"/>
    <n v="8"/>
    <n v="80"/>
    <n v="640"/>
    <x v="1"/>
    <x v="2"/>
  </r>
  <r>
    <s v="ORD596"/>
    <s v="CUST148"/>
    <d v="2025-05-27T00:00:00"/>
    <x v="1"/>
    <s v="Bottoms"/>
    <n v="9"/>
    <n v="60"/>
    <n v="540"/>
    <x v="1"/>
    <x v="1"/>
  </r>
  <r>
    <s v="ORD597"/>
    <s v="CUST142"/>
    <d v="2025-09-05T00:00:00"/>
    <x v="3"/>
    <s v="Dresses"/>
    <n v="9"/>
    <n v="80"/>
    <n v="720"/>
    <x v="1"/>
    <x v="1"/>
  </r>
  <r>
    <s v="ORD598"/>
    <s v="CUST095"/>
    <d v="2025-03-20T00:00:00"/>
    <x v="0"/>
    <s v="Outwear"/>
    <n v="2"/>
    <n v="120"/>
    <n v="240"/>
    <x v="2"/>
    <x v="0"/>
  </r>
  <r>
    <s v="ORD599"/>
    <s v="CUST091"/>
    <d v="2025-10-20T00:00:00"/>
    <x v="4"/>
    <s v="Tops"/>
    <n v="8"/>
    <n v="25"/>
    <n v="200"/>
    <x v="0"/>
    <x v="1"/>
  </r>
  <r>
    <s v="ORD600"/>
    <s v="CUST165"/>
    <d v="2025-04-15T00:00:00"/>
    <x v="1"/>
    <s v="Bottoms"/>
    <n v="10"/>
    <n v="60"/>
    <n v="600"/>
    <x v="0"/>
    <x v="1"/>
  </r>
  <r>
    <s v="ORD601"/>
    <s v="CUST166"/>
    <d v="2025-02-06T00:00:00"/>
    <x v="2"/>
    <s v="Footwear"/>
    <n v="5"/>
    <n v="90"/>
    <n v="450"/>
    <x v="2"/>
    <x v="1"/>
  </r>
  <r>
    <s v="ORD602"/>
    <s v="CUST111"/>
    <d v="2025-12-26T00:00:00"/>
    <x v="4"/>
    <s v="Tops"/>
    <n v="10"/>
    <n v="25"/>
    <n v="250"/>
    <x v="2"/>
    <x v="1"/>
  </r>
  <r>
    <s v="ORD603"/>
    <s v="CUST030"/>
    <d v="2025-03-11T00:00:00"/>
    <x v="2"/>
    <s v="Footwear"/>
    <n v="2"/>
    <n v="90"/>
    <n v="180"/>
    <x v="1"/>
    <x v="1"/>
  </r>
  <r>
    <s v="ORD604"/>
    <s v="CUST019"/>
    <d v="2025-02-27T00:00:00"/>
    <x v="2"/>
    <s v="Footwear"/>
    <n v="6"/>
    <n v="90"/>
    <n v="540"/>
    <x v="0"/>
    <x v="2"/>
  </r>
  <r>
    <s v="ORD605"/>
    <s v="CUST100"/>
    <d v="2025-09-22T00:00:00"/>
    <x v="3"/>
    <s v="Dresses"/>
    <n v="9"/>
    <n v="80"/>
    <n v="720"/>
    <x v="2"/>
    <x v="2"/>
  </r>
  <r>
    <s v="ORD606"/>
    <s v="CUST085"/>
    <d v="2025-12-11T00:00:00"/>
    <x v="2"/>
    <s v="Footwear"/>
    <n v="1"/>
    <n v="90"/>
    <n v="90"/>
    <x v="3"/>
    <x v="1"/>
  </r>
  <r>
    <s v="ORD607"/>
    <s v="CUST137"/>
    <d v="2025-09-02T00:00:00"/>
    <x v="3"/>
    <s v="Dresses"/>
    <n v="9"/>
    <n v="80"/>
    <n v="720"/>
    <x v="3"/>
    <x v="0"/>
  </r>
  <r>
    <s v="ORD608"/>
    <s v="CUST198"/>
    <d v="2025-10-16T00:00:00"/>
    <x v="0"/>
    <s v="Outwear"/>
    <n v="8"/>
    <n v="120"/>
    <n v="960"/>
    <x v="3"/>
    <x v="2"/>
  </r>
  <r>
    <s v="ORD609"/>
    <s v="CUST046"/>
    <d v="2025-06-19T00:00:00"/>
    <x v="2"/>
    <s v="Footwear"/>
    <n v="1"/>
    <n v="90"/>
    <n v="90"/>
    <x v="0"/>
    <x v="1"/>
  </r>
  <r>
    <s v="ORD610"/>
    <s v="CUST090"/>
    <d v="2025-12-11T00:00:00"/>
    <x v="2"/>
    <s v="Footwear"/>
    <n v="5"/>
    <n v="90"/>
    <n v="450"/>
    <x v="2"/>
    <x v="1"/>
  </r>
  <r>
    <s v="ORD611"/>
    <s v="CUST134"/>
    <d v="2025-04-13T00:00:00"/>
    <x v="2"/>
    <s v="Footwear"/>
    <n v="7"/>
    <n v="90"/>
    <n v="630"/>
    <x v="3"/>
    <x v="0"/>
  </r>
  <r>
    <s v="ORD612"/>
    <s v="CUST120"/>
    <d v="2025-10-01T00:00:00"/>
    <x v="4"/>
    <s v="Tops"/>
    <n v="7"/>
    <n v="25"/>
    <n v="175"/>
    <x v="0"/>
    <x v="2"/>
  </r>
  <r>
    <s v="ORD613"/>
    <s v="CUST082"/>
    <d v="2025-05-18T00:00:00"/>
    <x v="2"/>
    <s v="Footwear"/>
    <n v="9"/>
    <n v="90"/>
    <n v="810"/>
    <x v="1"/>
    <x v="1"/>
  </r>
  <r>
    <s v="ORD614"/>
    <s v="CUST179"/>
    <d v="2025-03-14T00:00:00"/>
    <x v="0"/>
    <s v="Outwear"/>
    <n v="8"/>
    <n v="120"/>
    <n v="960"/>
    <x v="1"/>
    <x v="2"/>
  </r>
  <r>
    <s v="ORD615"/>
    <s v="CUST025"/>
    <d v="2025-02-19T00:00:00"/>
    <x v="3"/>
    <s v="Dresses"/>
    <n v="1"/>
    <n v="80"/>
    <n v="80"/>
    <x v="3"/>
    <x v="1"/>
  </r>
  <r>
    <s v="ORD616"/>
    <s v="CUST162"/>
    <d v="2025-11-15T00:00:00"/>
    <x v="1"/>
    <s v="Bottoms"/>
    <n v="8"/>
    <n v="60"/>
    <n v="480"/>
    <x v="0"/>
    <x v="1"/>
  </r>
  <r>
    <s v="ORD617"/>
    <s v="CUST170"/>
    <d v="2025-07-14T00:00:00"/>
    <x v="4"/>
    <s v="Tops"/>
    <n v="2"/>
    <n v="25"/>
    <n v="50"/>
    <x v="2"/>
    <x v="1"/>
  </r>
  <r>
    <s v="ORD618"/>
    <s v="CUST150"/>
    <d v="2025-09-05T00:00:00"/>
    <x v="2"/>
    <s v="Footwear"/>
    <n v="7"/>
    <n v="90"/>
    <n v="630"/>
    <x v="3"/>
    <x v="1"/>
  </r>
  <r>
    <s v="ORD619"/>
    <s v="CUST109"/>
    <d v="2025-11-23T00:00:00"/>
    <x v="0"/>
    <s v="Outwear"/>
    <n v="8"/>
    <n v="120"/>
    <n v="960"/>
    <x v="2"/>
    <x v="1"/>
  </r>
  <r>
    <s v="ORD620"/>
    <s v="CUST196"/>
    <d v="2025-06-12T00:00:00"/>
    <x v="4"/>
    <s v="Tops"/>
    <n v="7"/>
    <n v="25"/>
    <n v="175"/>
    <x v="3"/>
    <x v="0"/>
  </r>
  <r>
    <s v="ORD621"/>
    <s v="CUST079"/>
    <d v="2025-12-10T00:00:00"/>
    <x v="3"/>
    <s v="Dresses"/>
    <n v="2"/>
    <n v="80"/>
    <n v="160"/>
    <x v="1"/>
    <x v="2"/>
  </r>
  <r>
    <s v="ORD622"/>
    <s v="CUST100"/>
    <d v="2025-01-18T00:00:00"/>
    <x v="3"/>
    <s v="Dresses"/>
    <n v="8"/>
    <n v="80"/>
    <n v="640"/>
    <x v="0"/>
    <x v="2"/>
  </r>
  <r>
    <s v="ORD623"/>
    <s v="CUST014"/>
    <d v="2025-01-01T00:00:00"/>
    <x v="1"/>
    <s v="Bottoms"/>
    <n v="8"/>
    <n v="60"/>
    <n v="480"/>
    <x v="1"/>
    <x v="0"/>
  </r>
  <r>
    <s v="ORD624"/>
    <s v="CUST180"/>
    <d v="2025-09-08T00:00:00"/>
    <x v="4"/>
    <s v="Tops"/>
    <n v="6"/>
    <n v="25"/>
    <n v="150"/>
    <x v="0"/>
    <x v="2"/>
  </r>
  <r>
    <s v="ORD625"/>
    <s v="CUST133"/>
    <d v="2025-05-07T00:00:00"/>
    <x v="2"/>
    <s v="Footwear"/>
    <n v="5"/>
    <n v="90"/>
    <n v="450"/>
    <x v="3"/>
    <x v="0"/>
  </r>
  <r>
    <s v="ORD626"/>
    <s v="CUST047"/>
    <d v="2025-07-06T00:00:00"/>
    <x v="4"/>
    <s v="Tops"/>
    <n v="7"/>
    <n v="25"/>
    <n v="175"/>
    <x v="0"/>
    <x v="1"/>
  </r>
  <r>
    <s v="ORD627"/>
    <s v="CUST054"/>
    <d v="2025-01-19T00:00:00"/>
    <x v="2"/>
    <s v="Footwear"/>
    <n v="8"/>
    <n v="90"/>
    <n v="720"/>
    <x v="2"/>
    <x v="0"/>
  </r>
  <r>
    <s v="ORD628"/>
    <s v="CUST060"/>
    <d v="2025-10-22T00:00:00"/>
    <x v="0"/>
    <s v="Outwear"/>
    <n v="6"/>
    <n v="120"/>
    <n v="720"/>
    <x v="1"/>
    <x v="2"/>
  </r>
  <r>
    <s v="ORD629"/>
    <s v="CUST145"/>
    <d v="2025-08-16T00:00:00"/>
    <x v="4"/>
    <s v="Tops"/>
    <n v="8"/>
    <n v="25"/>
    <n v="200"/>
    <x v="2"/>
    <x v="1"/>
  </r>
  <r>
    <s v="ORD630"/>
    <s v="CUST115"/>
    <d v="2025-01-15T00:00:00"/>
    <x v="1"/>
    <s v="Bottoms"/>
    <n v="1"/>
    <n v="60"/>
    <n v="60"/>
    <x v="2"/>
    <x v="0"/>
  </r>
  <r>
    <s v="ORD631"/>
    <s v="CUST155"/>
    <d v="2025-07-14T00:00:00"/>
    <x v="4"/>
    <s v="Tops"/>
    <n v="5"/>
    <n v="25"/>
    <n v="125"/>
    <x v="1"/>
    <x v="0"/>
  </r>
  <r>
    <s v="ORD632"/>
    <s v="CUST032"/>
    <d v="2025-02-23T00:00:00"/>
    <x v="2"/>
    <s v="Footwear"/>
    <n v="10"/>
    <n v="90"/>
    <n v="900"/>
    <x v="1"/>
    <x v="1"/>
  </r>
  <r>
    <s v="ORD633"/>
    <s v="CUST013"/>
    <d v="2025-02-07T00:00:00"/>
    <x v="2"/>
    <s v="Footwear"/>
    <n v="1"/>
    <n v="90"/>
    <n v="90"/>
    <x v="2"/>
    <x v="0"/>
  </r>
  <r>
    <s v="ORD634"/>
    <s v="CUST118"/>
    <d v="2025-01-02T00:00:00"/>
    <x v="2"/>
    <s v="Footwear"/>
    <n v="9"/>
    <n v="90"/>
    <n v="810"/>
    <x v="2"/>
    <x v="2"/>
  </r>
  <r>
    <s v="ORD635"/>
    <s v="CUST108"/>
    <d v="2025-12-23T00:00:00"/>
    <x v="3"/>
    <s v="Dresses"/>
    <n v="7"/>
    <n v="80"/>
    <n v="560"/>
    <x v="2"/>
    <x v="1"/>
  </r>
  <r>
    <s v="ORD636"/>
    <s v="CUST075"/>
    <d v="2025-06-30T00:00:00"/>
    <x v="2"/>
    <s v="Footwear"/>
    <n v="9"/>
    <n v="90"/>
    <n v="810"/>
    <x v="1"/>
    <x v="0"/>
  </r>
  <r>
    <s v="ORD637"/>
    <s v="CUST013"/>
    <d v="2025-02-09T00:00:00"/>
    <x v="3"/>
    <s v="Dresses"/>
    <n v="10"/>
    <n v="80"/>
    <n v="800"/>
    <x v="2"/>
    <x v="0"/>
  </r>
  <r>
    <s v="ORD638"/>
    <s v="CUST117"/>
    <d v="2025-12-12T00:00:00"/>
    <x v="4"/>
    <s v="Tops"/>
    <n v="2"/>
    <n v="25"/>
    <n v="50"/>
    <x v="2"/>
    <x v="0"/>
  </r>
  <r>
    <s v="ORD639"/>
    <s v="CUST158"/>
    <d v="2025-05-03T00:00:00"/>
    <x v="0"/>
    <s v="Outwear"/>
    <n v="10"/>
    <n v="120"/>
    <n v="1200"/>
    <x v="3"/>
    <x v="2"/>
  </r>
  <r>
    <s v="ORD640"/>
    <s v="CUST194"/>
    <d v="2025-03-12T00:00:00"/>
    <x v="0"/>
    <s v="Outwear"/>
    <n v="3"/>
    <n v="120"/>
    <n v="360"/>
    <x v="2"/>
    <x v="0"/>
  </r>
  <r>
    <s v="ORD641"/>
    <s v="CUST197"/>
    <d v="2025-08-01T00:00:00"/>
    <x v="1"/>
    <s v="Bottoms"/>
    <n v="4"/>
    <n v="60"/>
    <n v="240"/>
    <x v="1"/>
    <x v="0"/>
  </r>
  <r>
    <s v="ORD642"/>
    <s v="CUST053"/>
    <d v="2025-08-15T00:00:00"/>
    <x v="3"/>
    <s v="Dresses"/>
    <n v="7"/>
    <n v="80"/>
    <n v="560"/>
    <x v="2"/>
    <x v="0"/>
  </r>
  <r>
    <s v="ORD643"/>
    <s v="CUST180"/>
    <d v="2025-09-13T00:00:00"/>
    <x v="1"/>
    <s v="Bottoms"/>
    <n v="10"/>
    <n v="60"/>
    <n v="600"/>
    <x v="0"/>
    <x v="2"/>
  </r>
  <r>
    <s v="ORD644"/>
    <s v="CUST144"/>
    <d v="2025-04-01T00:00:00"/>
    <x v="3"/>
    <s v="Dresses"/>
    <n v="6"/>
    <n v="80"/>
    <n v="480"/>
    <x v="0"/>
    <x v="1"/>
  </r>
  <r>
    <s v="ORD645"/>
    <s v="CUST114"/>
    <d v="2025-04-24T00:00:00"/>
    <x v="2"/>
    <s v="Footwear"/>
    <n v="1"/>
    <n v="90"/>
    <n v="90"/>
    <x v="1"/>
    <x v="0"/>
  </r>
  <r>
    <s v="ORD646"/>
    <s v="CUST137"/>
    <d v="2025-06-29T00:00:00"/>
    <x v="1"/>
    <s v="Bottoms"/>
    <n v="1"/>
    <n v="60"/>
    <n v="60"/>
    <x v="1"/>
    <x v="0"/>
  </r>
  <r>
    <s v="ORD647"/>
    <s v="CUST055"/>
    <d v="2025-03-14T00:00:00"/>
    <x v="0"/>
    <s v="Outwear"/>
    <n v="4"/>
    <n v="120"/>
    <n v="480"/>
    <x v="2"/>
    <x v="0"/>
  </r>
  <r>
    <s v="ORD648"/>
    <s v="CUST039"/>
    <d v="2025-03-30T00:00:00"/>
    <x v="1"/>
    <s v="Bottoms"/>
    <n v="8"/>
    <n v="60"/>
    <n v="480"/>
    <x v="3"/>
    <x v="2"/>
  </r>
  <r>
    <s v="ORD649"/>
    <s v="CUST045"/>
    <d v="2025-12-25T00:00:00"/>
    <x v="2"/>
    <s v="Footwear"/>
    <n v="5"/>
    <n v="90"/>
    <n v="450"/>
    <x v="1"/>
    <x v="1"/>
  </r>
  <r>
    <s v="ORD650"/>
    <s v="CUST155"/>
    <d v="2025-02-04T00:00:00"/>
    <x v="2"/>
    <s v="Footwear"/>
    <n v="8"/>
    <n v="90"/>
    <n v="720"/>
    <x v="3"/>
    <x v="0"/>
  </r>
  <r>
    <s v="ORD651"/>
    <s v="CUST158"/>
    <d v="2025-08-22T00:00:00"/>
    <x v="1"/>
    <s v="Bottoms"/>
    <n v="3"/>
    <n v="60"/>
    <n v="180"/>
    <x v="1"/>
    <x v="2"/>
  </r>
  <r>
    <s v="ORD652"/>
    <s v="CUST119"/>
    <d v="2025-05-03T00:00:00"/>
    <x v="0"/>
    <s v="Outwear"/>
    <n v="8"/>
    <n v="120"/>
    <n v="960"/>
    <x v="2"/>
    <x v="2"/>
  </r>
  <r>
    <s v="ORD653"/>
    <s v="CUST167"/>
    <d v="2025-03-29T00:00:00"/>
    <x v="0"/>
    <s v="Outwear"/>
    <n v="2"/>
    <n v="120"/>
    <n v="240"/>
    <x v="0"/>
    <x v="1"/>
  </r>
  <r>
    <s v="ORD654"/>
    <s v="CUST035"/>
    <d v="2025-04-19T00:00:00"/>
    <x v="3"/>
    <s v="Dresses"/>
    <n v="9"/>
    <n v="80"/>
    <n v="720"/>
    <x v="0"/>
    <x v="0"/>
  </r>
  <r>
    <s v="ORD655"/>
    <s v="CUST092"/>
    <d v="2025-08-25T00:00:00"/>
    <x v="1"/>
    <s v="Bottoms"/>
    <n v="3"/>
    <n v="60"/>
    <n v="180"/>
    <x v="2"/>
    <x v="1"/>
  </r>
  <r>
    <s v="ORD656"/>
    <s v="CUST157"/>
    <d v="2025-09-21T00:00:00"/>
    <x v="1"/>
    <s v="Bottoms"/>
    <n v="3"/>
    <n v="60"/>
    <n v="180"/>
    <x v="2"/>
    <x v="0"/>
  </r>
  <r>
    <s v="ORD657"/>
    <s v="CUST039"/>
    <d v="2025-01-09T00:00:00"/>
    <x v="3"/>
    <s v="Dresses"/>
    <n v="8"/>
    <n v="80"/>
    <n v="640"/>
    <x v="3"/>
    <x v="2"/>
  </r>
  <r>
    <s v="ORD658"/>
    <s v="CUST047"/>
    <d v="2025-10-19T00:00:00"/>
    <x v="4"/>
    <s v="Tops"/>
    <n v="7"/>
    <n v="25"/>
    <n v="175"/>
    <x v="0"/>
    <x v="1"/>
  </r>
  <r>
    <s v="ORD659"/>
    <s v="CUST114"/>
    <d v="2025-02-07T00:00:00"/>
    <x v="4"/>
    <s v="Tops"/>
    <n v="3"/>
    <n v="25"/>
    <n v="75"/>
    <x v="3"/>
    <x v="0"/>
  </r>
  <r>
    <s v="ORD660"/>
    <s v="CUST092"/>
    <d v="2025-05-22T00:00:00"/>
    <x v="1"/>
    <s v="Bottoms"/>
    <n v="5"/>
    <n v="60"/>
    <n v="300"/>
    <x v="0"/>
    <x v="1"/>
  </r>
  <r>
    <s v="ORD661"/>
    <s v="CUST166"/>
    <d v="2025-01-01T00:00:00"/>
    <x v="3"/>
    <s v="Dresses"/>
    <n v="4"/>
    <n v="80"/>
    <n v="320"/>
    <x v="0"/>
    <x v="1"/>
  </r>
  <r>
    <s v="ORD662"/>
    <s v="CUST193"/>
    <d v="2025-10-28T00:00:00"/>
    <x v="1"/>
    <s v="Bottoms"/>
    <n v="8"/>
    <n v="60"/>
    <n v="480"/>
    <x v="3"/>
    <x v="0"/>
  </r>
  <r>
    <s v="ORD663"/>
    <s v="CUST161"/>
    <d v="2025-02-23T00:00:00"/>
    <x v="3"/>
    <s v="Dresses"/>
    <n v="4"/>
    <n v="80"/>
    <n v="320"/>
    <x v="0"/>
    <x v="1"/>
  </r>
  <r>
    <s v="ORD664"/>
    <s v="CUST054"/>
    <d v="2025-11-10T00:00:00"/>
    <x v="3"/>
    <s v="Dresses"/>
    <n v="3"/>
    <n v="80"/>
    <n v="240"/>
    <x v="1"/>
    <x v="0"/>
  </r>
  <r>
    <s v="ORD665"/>
    <s v="CUST112"/>
    <d v="2025-11-13T00:00:00"/>
    <x v="3"/>
    <s v="Dresses"/>
    <n v="3"/>
    <n v="80"/>
    <n v="240"/>
    <x v="3"/>
    <x v="1"/>
  </r>
  <r>
    <s v="ORD666"/>
    <s v="CUST177"/>
    <d v="2025-02-25T00:00:00"/>
    <x v="3"/>
    <s v="Dresses"/>
    <n v="5"/>
    <n v="80"/>
    <n v="400"/>
    <x v="0"/>
    <x v="0"/>
  </r>
  <r>
    <s v="ORD667"/>
    <s v="CUST190"/>
    <d v="2025-11-01T00:00:00"/>
    <x v="1"/>
    <s v="Bottoms"/>
    <n v="8"/>
    <n v="60"/>
    <n v="480"/>
    <x v="1"/>
    <x v="1"/>
  </r>
  <r>
    <s v="ORD668"/>
    <s v="CUST135"/>
    <d v="2025-10-11T00:00:00"/>
    <x v="2"/>
    <s v="Footwear"/>
    <n v="4"/>
    <n v="90"/>
    <n v="360"/>
    <x v="0"/>
    <x v="0"/>
  </r>
  <r>
    <s v="ORD669"/>
    <s v="CUST008"/>
    <d v="2025-02-05T00:00:00"/>
    <x v="4"/>
    <s v="Tops"/>
    <n v="5"/>
    <n v="25"/>
    <n v="125"/>
    <x v="1"/>
    <x v="1"/>
  </r>
  <r>
    <s v="ORD670"/>
    <s v="CUST052"/>
    <d v="2025-05-29T00:00:00"/>
    <x v="2"/>
    <s v="Footwear"/>
    <n v="5"/>
    <n v="90"/>
    <n v="450"/>
    <x v="1"/>
    <x v="1"/>
  </r>
  <r>
    <s v="ORD671"/>
    <s v="CUST041"/>
    <d v="2025-08-26T00:00:00"/>
    <x v="4"/>
    <s v="Tops"/>
    <n v="7"/>
    <n v="25"/>
    <n v="175"/>
    <x v="3"/>
    <x v="1"/>
  </r>
  <r>
    <s v="ORD672"/>
    <s v="CUST013"/>
    <d v="2025-08-04T00:00:00"/>
    <x v="4"/>
    <s v="Tops"/>
    <n v="4"/>
    <n v="25"/>
    <n v="100"/>
    <x v="2"/>
    <x v="0"/>
  </r>
  <r>
    <s v="ORD673"/>
    <s v="CUST161"/>
    <d v="2025-06-01T00:00:00"/>
    <x v="2"/>
    <s v="Footwear"/>
    <n v="2"/>
    <n v="90"/>
    <n v="180"/>
    <x v="0"/>
    <x v="1"/>
  </r>
  <r>
    <s v="ORD674"/>
    <s v="CUST104"/>
    <d v="2025-03-09T00:00:00"/>
    <x v="0"/>
    <s v="Outwear"/>
    <n v="5"/>
    <n v="120"/>
    <n v="600"/>
    <x v="3"/>
    <x v="1"/>
  </r>
  <r>
    <s v="ORD675"/>
    <s v="CUST054"/>
    <d v="2025-07-26T00:00:00"/>
    <x v="3"/>
    <s v="Dresses"/>
    <n v="5"/>
    <n v="80"/>
    <n v="400"/>
    <x v="2"/>
    <x v="0"/>
  </r>
  <r>
    <s v="ORD676"/>
    <s v="CUST179"/>
    <d v="2025-09-08T00:00:00"/>
    <x v="4"/>
    <s v="Tops"/>
    <n v="2"/>
    <n v="25"/>
    <n v="50"/>
    <x v="0"/>
    <x v="2"/>
  </r>
  <r>
    <s v="ORD677"/>
    <s v="CUST070"/>
    <d v="2025-06-15T00:00:00"/>
    <x v="0"/>
    <s v="Outwear"/>
    <n v="6"/>
    <n v="120"/>
    <n v="720"/>
    <x v="1"/>
    <x v="1"/>
  </r>
  <r>
    <s v="ORD678"/>
    <s v="CUST108"/>
    <d v="2025-05-18T00:00:00"/>
    <x v="3"/>
    <s v="Dresses"/>
    <n v="9"/>
    <n v="80"/>
    <n v="720"/>
    <x v="2"/>
    <x v="1"/>
  </r>
  <r>
    <s v="ORD679"/>
    <s v="CUST083"/>
    <d v="2025-02-28T00:00:00"/>
    <x v="2"/>
    <s v="Footwear"/>
    <n v="4"/>
    <n v="90"/>
    <n v="360"/>
    <x v="2"/>
    <x v="1"/>
  </r>
  <r>
    <s v="ORD680"/>
    <s v="CUST142"/>
    <d v="2025-09-15T00:00:00"/>
    <x v="2"/>
    <s v="Footwear"/>
    <n v="9"/>
    <n v="90"/>
    <n v="810"/>
    <x v="1"/>
    <x v="1"/>
  </r>
  <r>
    <s v="ORD681"/>
    <s v="CUST142"/>
    <d v="2025-08-26T00:00:00"/>
    <x v="0"/>
    <s v="Outwear"/>
    <n v="10"/>
    <n v="120"/>
    <n v="1200"/>
    <x v="0"/>
    <x v="1"/>
  </r>
  <r>
    <s v="ORD682"/>
    <s v="CUST046"/>
    <d v="2025-02-01T00:00:00"/>
    <x v="1"/>
    <s v="Bottoms"/>
    <n v="6"/>
    <n v="60"/>
    <n v="360"/>
    <x v="3"/>
    <x v="1"/>
  </r>
  <r>
    <s v="ORD683"/>
    <s v="CUST167"/>
    <d v="2025-12-18T00:00:00"/>
    <x v="0"/>
    <s v="Outwear"/>
    <n v="1"/>
    <n v="120"/>
    <n v="120"/>
    <x v="0"/>
    <x v="1"/>
  </r>
  <r>
    <s v="ORD684"/>
    <s v="CUST127"/>
    <d v="2025-07-05T00:00:00"/>
    <x v="1"/>
    <s v="Bottoms"/>
    <n v="10"/>
    <n v="60"/>
    <n v="600"/>
    <x v="3"/>
    <x v="1"/>
  </r>
  <r>
    <s v="ORD685"/>
    <s v="CUST137"/>
    <d v="2025-09-20T00:00:00"/>
    <x v="4"/>
    <s v="Tops"/>
    <n v="10"/>
    <n v="25"/>
    <n v="250"/>
    <x v="3"/>
    <x v="0"/>
  </r>
  <r>
    <s v="ORD686"/>
    <s v="CUST032"/>
    <d v="2025-12-17T00:00:00"/>
    <x v="2"/>
    <s v="Footwear"/>
    <n v="9"/>
    <n v="90"/>
    <n v="810"/>
    <x v="1"/>
    <x v="1"/>
  </r>
  <r>
    <s v="ORD687"/>
    <s v="CUST025"/>
    <d v="2025-04-21T00:00:00"/>
    <x v="4"/>
    <s v="Tops"/>
    <n v="9"/>
    <n v="25"/>
    <n v="225"/>
    <x v="0"/>
    <x v="1"/>
  </r>
  <r>
    <s v="ORD688"/>
    <s v="CUST158"/>
    <d v="2025-06-10T00:00:00"/>
    <x v="2"/>
    <s v="Footwear"/>
    <n v="7"/>
    <n v="90"/>
    <n v="630"/>
    <x v="2"/>
    <x v="2"/>
  </r>
  <r>
    <s v="ORD689"/>
    <s v="CUST101"/>
    <d v="2025-03-22T00:00:00"/>
    <x v="0"/>
    <s v="Outwear"/>
    <n v="6"/>
    <n v="120"/>
    <n v="720"/>
    <x v="3"/>
    <x v="1"/>
  </r>
  <r>
    <s v="ORD690"/>
    <s v="CUST194"/>
    <d v="2025-04-14T00:00:00"/>
    <x v="1"/>
    <s v="Bottoms"/>
    <n v="4"/>
    <n v="60"/>
    <n v="240"/>
    <x v="0"/>
    <x v="0"/>
  </r>
  <r>
    <s v="ORD691"/>
    <s v="CUST104"/>
    <d v="2025-03-25T00:00:00"/>
    <x v="1"/>
    <s v="Bottoms"/>
    <n v="10"/>
    <n v="60"/>
    <n v="600"/>
    <x v="2"/>
    <x v="1"/>
  </r>
  <r>
    <s v="ORD692"/>
    <s v="CUST014"/>
    <d v="2025-01-28T00:00:00"/>
    <x v="0"/>
    <s v="Outwear"/>
    <n v="6"/>
    <n v="120"/>
    <n v="720"/>
    <x v="2"/>
    <x v="0"/>
  </r>
  <r>
    <s v="ORD693"/>
    <s v="CUST050"/>
    <d v="2025-11-12T00:00:00"/>
    <x v="2"/>
    <s v="Footwear"/>
    <n v="3"/>
    <n v="90"/>
    <n v="270"/>
    <x v="0"/>
    <x v="1"/>
  </r>
  <r>
    <s v="ORD694"/>
    <s v="CUST095"/>
    <d v="2025-03-19T00:00:00"/>
    <x v="3"/>
    <s v="Dresses"/>
    <n v="3"/>
    <n v="80"/>
    <n v="240"/>
    <x v="0"/>
    <x v="0"/>
  </r>
  <r>
    <s v="ORD695"/>
    <s v="CUST011"/>
    <d v="2025-04-14T00:00:00"/>
    <x v="2"/>
    <s v="Footwear"/>
    <n v="7"/>
    <n v="90"/>
    <n v="630"/>
    <x v="1"/>
    <x v="1"/>
  </r>
  <r>
    <s v="ORD696"/>
    <s v="CUST097"/>
    <d v="2025-08-06T00:00:00"/>
    <x v="0"/>
    <s v="Outwear"/>
    <n v="10"/>
    <n v="120"/>
    <n v="1200"/>
    <x v="1"/>
    <x v="0"/>
  </r>
  <r>
    <s v="ORD697"/>
    <s v="CUST041"/>
    <d v="2025-01-18T00:00:00"/>
    <x v="2"/>
    <s v="Footwear"/>
    <n v="3"/>
    <n v="90"/>
    <n v="270"/>
    <x v="1"/>
    <x v="1"/>
  </r>
  <r>
    <s v="ORD698"/>
    <s v="CUST148"/>
    <d v="2025-09-27T00:00:00"/>
    <x v="1"/>
    <s v="Bottoms"/>
    <n v="2"/>
    <n v="60"/>
    <n v="120"/>
    <x v="0"/>
    <x v="1"/>
  </r>
  <r>
    <s v="ORD699"/>
    <s v="CUST045"/>
    <d v="2025-10-18T00:00:00"/>
    <x v="0"/>
    <s v="Outwear"/>
    <n v="4"/>
    <n v="120"/>
    <n v="480"/>
    <x v="0"/>
    <x v="1"/>
  </r>
  <r>
    <s v="ORD700"/>
    <s v="CUST029"/>
    <d v="2025-07-02T00:00:00"/>
    <x v="2"/>
    <s v="Footwear"/>
    <n v="3"/>
    <n v="90"/>
    <n v="270"/>
    <x v="0"/>
    <x v="1"/>
  </r>
  <r>
    <s v="ORD701"/>
    <s v="CUST153"/>
    <d v="2025-06-02T00:00:00"/>
    <x v="4"/>
    <s v="Tops"/>
    <n v="6"/>
    <n v="25"/>
    <n v="150"/>
    <x v="0"/>
    <x v="0"/>
  </r>
  <r>
    <s v="ORD702"/>
    <s v="CUST101"/>
    <d v="2025-01-29T00:00:00"/>
    <x v="1"/>
    <s v="Bottoms"/>
    <n v="5"/>
    <n v="60"/>
    <n v="300"/>
    <x v="3"/>
    <x v="1"/>
  </r>
  <r>
    <s v="ORD703"/>
    <s v="CUST105"/>
    <d v="2025-01-08T00:00:00"/>
    <x v="2"/>
    <s v="Footwear"/>
    <n v="8"/>
    <n v="90"/>
    <n v="720"/>
    <x v="2"/>
    <x v="1"/>
  </r>
  <r>
    <s v="ORD704"/>
    <s v="CUST158"/>
    <d v="2025-11-25T00:00:00"/>
    <x v="3"/>
    <s v="Dresses"/>
    <n v="5"/>
    <n v="80"/>
    <n v="400"/>
    <x v="1"/>
    <x v="2"/>
  </r>
  <r>
    <s v="ORD705"/>
    <s v="CUST148"/>
    <d v="2025-10-11T00:00:00"/>
    <x v="0"/>
    <s v="Outwear"/>
    <n v="7"/>
    <n v="120"/>
    <n v="840"/>
    <x v="0"/>
    <x v="1"/>
  </r>
  <r>
    <s v="ORD706"/>
    <s v="CUST137"/>
    <d v="2025-02-28T00:00:00"/>
    <x v="2"/>
    <s v="Footwear"/>
    <n v="7"/>
    <n v="90"/>
    <n v="630"/>
    <x v="1"/>
    <x v="0"/>
  </r>
  <r>
    <s v="ORD707"/>
    <s v="CUST139"/>
    <d v="2025-07-12T00:00:00"/>
    <x v="0"/>
    <s v="Outwear"/>
    <n v="2"/>
    <n v="120"/>
    <n v="240"/>
    <x v="2"/>
    <x v="2"/>
  </r>
  <r>
    <s v="ORD708"/>
    <s v="CUST179"/>
    <d v="2025-10-11T00:00:00"/>
    <x v="0"/>
    <s v="Outwear"/>
    <n v="10"/>
    <n v="120"/>
    <n v="1200"/>
    <x v="2"/>
    <x v="2"/>
  </r>
  <r>
    <s v="ORD709"/>
    <s v="CUST168"/>
    <d v="2025-10-06T00:00:00"/>
    <x v="3"/>
    <s v="Dresses"/>
    <n v="2"/>
    <n v="80"/>
    <n v="160"/>
    <x v="2"/>
    <x v="1"/>
  </r>
  <r>
    <s v="ORD710"/>
    <s v="CUST080"/>
    <d v="2025-05-21T00:00:00"/>
    <x v="4"/>
    <s v="Tops"/>
    <n v="5"/>
    <n v="25"/>
    <n v="125"/>
    <x v="2"/>
    <x v="2"/>
  </r>
  <r>
    <s v="ORD711"/>
    <s v="CUST180"/>
    <d v="2025-03-11T00:00:00"/>
    <x v="4"/>
    <s v="Tops"/>
    <n v="6"/>
    <n v="25"/>
    <n v="150"/>
    <x v="2"/>
    <x v="2"/>
  </r>
  <r>
    <s v="ORD712"/>
    <s v="CUST045"/>
    <d v="2025-10-22T00:00:00"/>
    <x v="4"/>
    <s v="Tops"/>
    <n v="9"/>
    <n v="25"/>
    <n v="225"/>
    <x v="0"/>
    <x v="1"/>
  </r>
  <r>
    <s v="ORD713"/>
    <s v="CUST049"/>
    <d v="2025-07-13T00:00:00"/>
    <x v="0"/>
    <s v="Outwear"/>
    <n v="2"/>
    <n v="120"/>
    <n v="240"/>
    <x v="3"/>
    <x v="1"/>
  </r>
  <r>
    <s v="ORD714"/>
    <s v="CUST193"/>
    <d v="2025-07-01T00:00:00"/>
    <x v="2"/>
    <s v="Footwear"/>
    <n v="10"/>
    <n v="90"/>
    <n v="900"/>
    <x v="3"/>
    <x v="0"/>
  </r>
  <r>
    <s v="ORD715"/>
    <s v="CUST088"/>
    <d v="2025-03-27T00:00:00"/>
    <x v="3"/>
    <s v="Dresses"/>
    <n v="9"/>
    <n v="80"/>
    <n v="720"/>
    <x v="1"/>
    <x v="1"/>
  </r>
  <r>
    <s v="ORD716"/>
    <s v="CUST109"/>
    <d v="2025-03-11T00:00:00"/>
    <x v="4"/>
    <s v="Tops"/>
    <n v="4"/>
    <n v="25"/>
    <n v="100"/>
    <x v="2"/>
    <x v="1"/>
  </r>
  <r>
    <s v="ORD717"/>
    <s v="CUST136"/>
    <d v="2025-09-20T00:00:00"/>
    <x v="4"/>
    <s v="Tops"/>
    <n v="7"/>
    <n v="25"/>
    <n v="175"/>
    <x v="2"/>
    <x v="0"/>
  </r>
  <r>
    <s v="ORD718"/>
    <s v="CUST190"/>
    <d v="2025-07-21T00:00:00"/>
    <x v="0"/>
    <s v="Outwear"/>
    <n v="2"/>
    <n v="120"/>
    <n v="240"/>
    <x v="0"/>
    <x v="1"/>
  </r>
  <r>
    <s v="ORD719"/>
    <s v="CUST035"/>
    <d v="2025-09-07T00:00:00"/>
    <x v="0"/>
    <s v="Outwear"/>
    <n v="5"/>
    <n v="120"/>
    <n v="600"/>
    <x v="3"/>
    <x v="0"/>
  </r>
  <r>
    <s v="ORD720"/>
    <s v="CUST013"/>
    <d v="2025-05-08T00:00:00"/>
    <x v="1"/>
    <s v="Bottoms"/>
    <n v="6"/>
    <n v="60"/>
    <n v="360"/>
    <x v="0"/>
    <x v="0"/>
  </r>
  <r>
    <s v="ORD721"/>
    <s v="CUST103"/>
    <d v="2025-10-23T00:00:00"/>
    <x v="4"/>
    <s v="Tops"/>
    <n v="6"/>
    <n v="25"/>
    <n v="150"/>
    <x v="1"/>
    <x v="1"/>
  </r>
  <r>
    <s v="ORD722"/>
    <s v="CUST125"/>
    <d v="2025-11-22T00:00:00"/>
    <x v="1"/>
    <s v="Bottoms"/>
    <n v="7"/>
    <n v="60"/>
    <n v="420"/>
    <x v="0"/>
    <x v="1"/>
  </r>
  <r>
    <s v="ORD723"/>
    <s v="CUST029"/>
    <d v="2025-09-29T00:00:00"/>
    <x v="0"/>
    <s v="Outwear"/>
    <n v="2"/>
    <n v="120"/>
    <n v="240"/>
    <x v="2"/>
    <x v="1"/>
  </r>
  <r>
    <s v="ORD724"/>
    <s v="CUST141"/>
    <d v="2025-09-28T00:00:00"/>
    <x v="4"/>
    <s v="Tops"/>
    <n v="9"/>
    <n v="25"/>
    <n v="225"/>
    <x v="0"/>
    <x v="1"/>
  </r>
  <r>
    <s v="ORD725"/>
    <s v="CUST196"/>
    <d v="2025-12-27T00:00:00"/>
    <x v="3"/>
    <s v="Dresses"/>
    <n v="10"/>
    <n v="80"/>
    <n v="800"/>
    <x v="0"/>
    <x v="0"/>
  </r>
  <r>
    <s v="ORD726"/>
    <s v="CUST194"/>
    <d v="2025-04-30T00:00:00"/>
    <x v="0"/>
    <s v="Outwear"/>
    <n v="6"/>
    <n v="120"/>
    <n v="720"/>
    <x v="0"/>
    <x v="0"/>
  </r>
  <r>
    <s v="ORD727"/>
    <s v="CUST060"/>
    <d v="2025-10-16T00:00:00"/>
    <x v="1"/>
    <s v="Bottoms"/>
    <n v="9"/>
    <n v="60"/>
    <n v="540"/>
    <x v="0"/>
    <x v="2"/>
  </r>
  <r>
    <s v="ORD728"/>
    <s v="CUST100"/>
    <d v="2025-03-03T00:00:00"/>
    <x v="2"/>
    <s v="Footwear"/>
    <n v="8"/>
    <n v="90"/>
    <n v="720"/>
    <x v="3"/>
    <x v="2"/>
  </r>
  <r>
    <s v="ORD729"/>
    <s v="CUST185"/>
    <d v="2025-01-20T00:00:00"/>
    <x v="2"/>
    <s v="Footwear"/>
    <n v="4"/>
    <n v="90"/>
    <n v="360"/>
    <x v="0"/>
    <x v="1"/>
  </r>
  <r>
    <s v="ORD730"/>
    <s v="CUST158"/>
    <d v="2025-07-11T00:00:00"/>
    <x v="3"/>
    <s v="Dresses"/>
    <n v="3"/>
    <n v="80"/>
    <n v="240"/>
    <x v="2"/>
    <x v="2"/>
  </r>
  <r>
    <s v="ORD731"/>
    <s v="CUST005"/>
    <d v="2025-08-30T00:00:00"/>
    <x v="1"/>
    <s v="Bottoms"/>
    <n v="9"/>
    <n v="60"/>
    <n v="540"/>
    <x v="3"/>
    <x v="1"/>
  </r>
  <r>
    <s v="ORD732"/>
    <s v="CUST164"/>
    <d v="2025-09-19T00:00:00"/>
    <x v="2"/>
    <s v="Footwear"/>
    <n v="4"/>
    <n v="90"/>
    <n v="360"/>
    <x v="0"/>
    <x v="1"/>
  </r>
  <r>
    <s v="ORD733"/>
    <s v="CUST154"/>
    <d v="2025-08-24T00:00:00"/>
    <x v="3"/>
    <s v="Dresses"/>
    <n v="6"/>
    <n v="80"/>
    <n v="480"/>
    <x v="3"/>
    <x v="0"/>
  </r>
  <r>
    <s v="ORD734"/>
    <s v="CUST107"/>
    <d v="2025-10-19T00:00:00"/>
    <x v="0"/>
    <s v="Outwear"/>
    <n v="7"/>
    <n v="120"/>
    <n v="840"/>
    <x v="0"/>
    <x v="1"/>
  </r>
  <r>
    <s v="ORD735"/>
    <s v="CUST151"/>
    <d v="2025-04-06T00:00:00"/>
    <x v="2"/>
    <s v="Footwear"/>
    <n v="10"/>
    <n v="90"/>
    <n v="900"/>
    <x v="3"/>
    <x v="1"/>
  </r>
  <r>
    <s v="ORD736"/>
    <s v="CUST131"/>
    <d v="2025-06-23T00:00:00"/>
    <x v="2"/>
    <s v="Footwear"/>
    <n v="2"/>
    <n v="90"/>
    <n v="180"/>
    <x v="3"/>
    <x v="1"/>
  </r>
  <r>
    <s v="ORD737"/>
    <s v="CUST086"/>
    <d v="2025-12-27T00:00:00"/>
    <x v="0"/>
    <s v="Outwear"/>
    <n v="7"/>
    <n v="120"/>
    <n v="840"/>
    <x v="3"/>
    <x v="1"/>
  </r>
  <r>
    <s v="ORD738"/>
    <s v="CUST184"/>
    <d v="2025-03-14T00:00:00"/>
    <x v="2"/>
    <s v="Footwear"/>
    <n v="1"/>
    <n v="90"/>
    <n v="90"/>
    <x v="3"/>
    <x v="1"/>
  </r>
  <r>
    <s v="ORD739"/>
    <s v="CUST067"/>
    <d v="2025-03-27T00:00:00"/>
    <x v="1"/>
    <s v="Bottoms"/>
    <n v="8"/>
    <n v="60"/>
    <n v="480"/>
    <x v="1"/>
    <x v="1"/>
  </r>
  <r>
    <s v="ORD740"/>
    <s v="CUST200"/>
    <d v="2025-07-20T00:00:00"/>
    <x v="0"/>
    <s v="Outwear"/>
    <n v="9"/>
    <n v="120"/>
    <n v="1080"/>
    <x v="0"/>
    <x v="2"/>
  </r>
  <r>
    <s v="ORD741"/>
    <s v="CUST026"/>
    <d v="2025-10-20T00:00:00"/>
    <x v="4"/>
    <s v="Tops"/>
    <n v="10"/>
    <n v="25"/>
    <n v="250"/>
    <x v="1"/>
    <x v="1"/>
  </r>
  <r>
    <s v="ORD742"/>
    <s v="CUST118"/>
    <d v="2025-07-02T00:00:00"/>
    <x v="3"/>
    <s v="Dresses"/>
    <n v="3"/>
    <n v="80"/>
    <n v="240"/>
    <x v="3"/>
    <x v="2"/>
  </r>
  <r>
    <s v="ORD743"/>
    <s v="CUST177"/>
    <d v="2025-09-24T00:00:00"/>
    <x v="0"/>
    <s v="Outwear"/>
    <n v="6"/>
    <n v="120"/>
    <n v="720"/>
    <x v="2"/>
    <x v="0"/>
  </r>
  <r>
    <s v="ORD744"/>
    <s v="CUST170"/>
    <d v="2025-01-04T00:00:00"/>
    <x v="2"/>
    <s v="Footwear"/>
    <n v="1"/>
    <n v="90"/>
    <n v="90"/>
    <x v="0"/>
    <x v="1"/>
  </r>
  <r>
    <s v="ORD745"/>
    <s v="CUST199"/>
    <d v="2025-09-26T00:00:00"/>
    <x v="3"/>
    <s v="Dresses"/>
    <n v="1"/>
    <n v="80"/>
    <n v="80"/>
    <x v="0"/>
    <x v="2"/>
  </r>
  <r>
    <s v="ORD746"/>
    <s v="CUST132"/>
    <d v="2025-12-16T00:00:00"/>
    <x v="3"/>
    <s v="Dresses"/>
    <n v="10"/>
    <n v="80"/>
    <n v="800"/>
    <x v="0"/>
    <x v="1"/>
  </r>
  <r>
    <s v="ORD747"/>
    <s v="CUST106"/>
    <d v="2025-07-22T00:00:00"/>
    <x v="0"/>
    <s v="Outwear"/>
    <n v="2"/>
    <n v="120"/>
    <n v="240"/>
    <x v="0"/>
    <x v="1"/>
  </r>
  <r>
    <s v="ORD748"/>
    <s v="CUST060"/>
    <d v="2025-07-27T00:00:00"/>
    <x v="0"/>
    <s v="Outwear"/>
    <n v="7"/>
    <n v="120"/>
    <n v="840"/>
    <x v="2"/>
    <x v="2"/>
  </r>
  <r>
    <s v="ORD749"/>
    <s v="CUST053"/>
    <d v="2025-01-29T00:00:00"/>
    <x v="3"/>
    <s v="Dresses"/>
    <n v="10"/>
    <n v="80"/>
    <n v="800"/>
    <x v="0"/>
    <x v="0"/>
  </r>
  <r>
    <s v="ORD750"/>
    <s v="CUST133"/>
    <d v="2025-11-19T00:00:00"/>
    <x v="0"/>
    <s v="Outwear"/>
    <n v="5"/>
    <n v="120"/>
    <n v="600"/>
    <x v="2"/>
    <x v="0"/>
  </r>
  <r>
    <s v="ORD751"/>
    <s v="CUST002"/>
    <d v="2025-04-17T00:00:00"/>
    <x v="3"/>
    <s v="Dresses"/>
    <n v="5"/>
    <n v="80"/>
    <n v="400"/>
    <x v="2"/>
    <x v="1"/>
  </r>
  <r>
    <s v="ORD752"/>
    <s v="CUST031"/>
    <d v="2025-10-11T00:00:00"/>
    <x v="0"/>
    <s v="Outwear"/>
    <n v="7"/>
    <n v="120"/>
    <n v="840"/>
    <x v="1"/>
    <x v="1"/>
  </r>
  <r>
    <s v="ORD753"/>
    <s v="CUST028"/>
    <d v="2025-02-05T00:00:00"/>
    <x v="1"/>
    <s v="Bottoms"/>
    <n v="1"/>
    <n v="60"/>
    <n v="60"/>
    <x v="1"/>
    <x v="1"/>
  </r>
  <r>
    <s v="ORD754"/>
    <s v="CUST166"/>
    <d v="2025-11-06T00:00:00"/>
    <x v="3"/>
    <s v="Dresses"/>
    <n v="4"/>
    <n v="80"/>
    <n v="320"/>
    <x v="2"/>
    <x v="1"/>
  </r>
  <r>
    <s v="ORD755"/>
    <s v="CUST096"/>
    <d v="2025-11-25T00:00:00"/>
    <x v="4"/>
    <s v="Tops"/>
    <n v="6"/>
    <n v="25"/>
    <n v="150"/>
    <x v="2"/>
    <x v="0"/>
  </r>
  <r>
    <s v="ORD756"/>
    <s v="CUST151"/>
    <d v="2025-10-19T00:00:00"/>
    <x v="3"/>
    <s v="Dresses"/>
    <n v="7"/>
    <n v="80"/>
    <n v="560"/>
    <x v="0"/>
    <x v="1"/>
  </r>
  <r>
    <s v="ORD757"/>
    <s v="CUST138"/>
    <d v="2025-11-20T00:00:00"/>
    <x v="4"/>
    <s v="Tops"/>
    <n v="2"/>
    <n v="25"/>
    <n v="50"/>
    <x v="0"/>
    <x v="2"/>
  </r>
  <r>
    <s v="ORD758"/>
    <s v="CUST156"/>
    <d v="2025-10-10T00:00:00"/>
    <x v="2"/>
    <s v="Footwear"/>
    <n v="1"/>
    <n v="90"/>
    <n v="90"/>
    <x v="2"/>
    <x v="0"/>
  </r>
  <r>
    <s v="ORD759"/>
    <s v="CUST028"/>
    <d v="2025-05-16T00:00:00"/>
    <x v="3"/>
    <s v="Dresses"/>
    <n v="9"/>
    <n v="80"/>
    <n v="720"/>
    <x v="3"/>
    <x v="1"/>
  </r>
  <r>
    <s v="ORD760"/>
    <s v="CUST028"/>
    <d v="2025-06-22T00:00:00"/>
    <x v="1"/>
    <s v="Bottoms"/>
    <n v="8"/>
    <n v="60"/>
    <n v="480"/>
    <x v="3"/>
    <x v="1"/>
  </r>
  <r>
    <s v="ORD761"/>
    <s v="CUST067"/>
    <d v="2025-03-23T00:00:00"/>
    <x v="1"/>
    <s v="Bottoms"/>
    <n v="7"/>
    <n v="60"/>
    <n v="420"/>
    <x v="3"/>
    <x v="1"/>
  </r>
  <r>
    <s v="ORD762"/>
    <s v="CUST190"/>
    <d v="2025-08-13T00:00:00"/>
    <x v="3"/>
    <s v="Dresses"/>
    <n v="6"/>
    <n v="80"/>
    <n v="480"/>
    <x v="3"/>
    <x v="1"/>
  </r>
  <r>
    <s v="ORD763"/>
    <s v="CUST030"/>
    <d v="2025-11-27T00:00:00"/>
    <x v="3"/>
    <s v="Dresses"/>
    <n v="9"/>
    <n v="80"/>
    <n v="720"/>
    <x v="0"/>
    <x v="1"/>
  </r>
  <r>
    <s v="ORD764"/>
    <s v="CUST086"/>
    <d v="2025-04-06T00:00:00"/>
    <x v="1"/>
    <s v="Bottoms"/>
    <n v="1"/>
    <n v="60"/>
    <n v="60"/>
    <x v="1"/>
    <x v="1"/>
  </r>
  <r>
    <s v="ORD765"/>
    <s v="CUST129"/>
    <d v="2025-03-01T00:00:00"/>
    <x v="2"/>
    <s v="Footwear"/>
    <n v="10"/>
    <n v="90"/>
    <n v="900"/>
    <x v="0"/>
    <x v="1"/>
  </r>
  <r>
    <s v="ORD766"/>
    <s v="CUST075"/>
    <d v="2025-06-16T00:00:00"/>
    <x v="2"/>
    <s v="Footwear"/>
    <n v="8"/>
    <n v="90"/>
    <n v="720"/>
    <x v="3"/>
    <x v="0"/>
  </r>
  <r>
    <s v="ORD767"/>
    <s v="CUST073"/>
    <d v="2025-10-27T00:00:00"/>
    <x v="2"/>
    <s v="Footwear"/>
    <n v="8"/>
    <n v="90"/>
    <n v="720"/>
    <x v="1"/>
    <x v="0"/>
  </r>
  <r>
    <s v="ORD768"/>
    <s v="CUST013"/>
    <d v="2025-04-21T00:00:00"/>
    <x v="1"/>
    <s v="Bottoms"/>
    <n v="10"/>
    <n v="60"/>
    <n v="600"/>
    <x v="2"/>
    <x v="0"/>
  </r>
  <r>
    <s v="ORD769"/>
    <s v="CUST172"/>
    <d v="2025-06-15T00:00:00"/>
    <x v="2"/>
    <s v="Footwear"/>
    <n v="6"/>
    <n v="90"/>
    <n v="540"/>
    <x v="0"/>
    <x v="1"/>
  </r>
  <r>
    <s v="ORD770"/>
    <s v="CUST125"/>
    <d v="2025-03-02T00:00:00"/>
    <x v="2"/>
    <s v="Footwear"/>
    <n v="7"/>
    <n v="90"/>
    <n v="630"/>
    <x v="2"/>
    <x v="1"/>
  </r>
  <r>
    <s v="ORD771"/>
    <s v="CUST054"/>
    <d v="2025-10-21T00:00:00"/>
    <x v="3"/>
    <s v="Dresses"/>
    <n v="9"/>
    <n v="80"/>
    <n v="720"/>
    <x v="1"/>
    <x v="0"/>
  </r>
  <r>
    <s v="ORD772"/>
    <s v="CUST115"/>
    <d v="2025-08-25T00:00:00"/>
    <x v="3"/>
    <s v="Dresses"/>
    <n v="7"/>
    <n v="80"/>
    <n v="560"/>
    <x v="1"/>
    <x v="0"/>
  </r>
  <r>
    <s v="ORD773"/>
    <s v="CUST029"/>
    <d v="2025-08-10T00:00:00"/>
    <x v="2"/>
    <s v="Footwear"/>
    <n v="8"/>
    <n v="90"/>
    <n v="720"/>
    <x v="1"/>
    <x v="1"/>
  </r>
  <r>
    <s v="ORD774"/>
    <s v="CUST177"/>
    <d v="2025-12-08T00:00:00"/>
    <x v="3"/>
    <s v="Dresses"/>
    <n v="7"/>
    <n v="80"/>
    <n v="560"/>
    <x v="3"/>
    <x v="0"/>
  </r>
  <r>
    <s v="ORD775"/>
    <s v="CUST090"/>
    <d v="2025-09-19T00:00:00"/>
    <x v="3"/>
    <s v="Dresses"/>
    <n v="1"/>
    <n v="80"/>
    <n v="80"/>
    <x v="2"/>
    <x v="1"/>
  </r>
  <r>
    <s v="ORD776"/>
    <s v="CUST186"/>
    <d v="2025-01-21T00:00:00"/>
    <x v="4"/>
    <s v="Tops"/>
    <n v="3"/>
    <n v="25"/>
    <n v="75"/>
    <x v="1"/>
    <x v="1"/>
  </r>
  <r>
    <s v="ORD777"/>
    <s v="CUST063"/>
    <d v="2025-03-14T00:00:00"/>
    <x v="0"/>
    <s v="Outwear"/>
    <n v="6"/>
    <n v="120"/>
    <n v="720"/>
    <x v="1"/>
    <x v="1"/>
  </r>
  <r>
    <s v="ORD778"/>
    <s v="CUST041"/>
    <d v="2025-08-21T00:00:00"/>
    <x v="0"/>
    <s v="Outwear"/>
    <n v="5"/>
    <n v="120"/>
    <n v="600"/>
    <x v="0"/>
    <x v="1"/>
  </r>
  <r>
    <s v="ORD779"/>
    <s v="CUST147"/>
    <d v="2025-02-23T00:00:00"/>
    <x v="3"/>
    <s v="Dresses"/>
    <n v="9"/>
    <n v="80"/>
    <n v="720"/>
    <x v="2"/>
    <x v="1"/>
  </r>
  <r>
    <s v="ORD780"/>
    <s v="CUST125"/>
    <d v="2025-09-03T00:00:00"/>
    <x v="4"/>
    <s v="Tops"/>
    <n v="7"/>
    <n v="25"/>
    <n v="175"/>
    <x v="2"/>
    <x v="1"/>
  </r>
  <r>
    <s v="ORD781"/>
    <s v="CUST091"/>
    <d v="2025-06-17T00:00:00"/>
    <x v="3"/>
    <s v="Dresses"/>
    <n v="4"/>
    <n v="80"/>
    <n v="320"/>
    <x v="1"/>
    <x v="1"/>
  </r>
  <r>
    <s v="ORD782"/>
    <s v="CUST153"/>
    <d v="2025-10-02T00:00:00"/>
    <x v="2"/>
    <s v="Footwear"/>
    <n v="7"/>
    <n v="90"/>
    <n v="630"/>
    <x v="0"/>
    <x v="0"/>
  </r>
  <r>
    <s v="ORD783"/>
    <s v="CUST161"/>
    <d v="2025-11-25T00:00:00"/>
    <x v="0"/>
    <s v="Outwear"/>
    <n v="8"/>
    <n v="120"/>
    <n v="960"/>
    <x v="0"/>
    <x v="1"/>
  </r>
  <r>
    <s v="ORD784"/>
    <s v="CUST009"/>
    <d v="2025-12-06T00:00:00"/>
    <x v="4"/>
    <s v="Tops"/>
    <n v="10"/>
    <n v="25"/>
    <n v="250"/>
    <x v="3"/>
    <x v="1"/>
  </r>
  <r>
    <s v="ORD785"/>
    <s v="CUST091"/>
    <d v="2025-01-22T00:00:00"/>
    <x v="1"/>
    <s v="Bottoms"/>
    <n v="10"/>
    <n v="60"/>
    <n v="600"/>
    <x v="0"/>
    <x v="1"/>
  </r>
  <r>
    <s v="ORD786"/>
    <s v="CUST142"/>
    <d v="2025-08-19T00:00:00"/>
    <x v="1"/>
    <s v="Bottoms"/>
    <n v="6"/>
    <n v="60"/>
    <n v="360"/>
    <x v="0"/>
    <x v="1"/>
  </r>
  <r>
    <s v="ORD787"/>
    <s v="CUST187"/>
    <d v="2025-01-22T00:00:00"/>
    <x v="1"/>
    <s v="Bottoms"/>
    <n v="10"/>
    <n v="60"/>
    <n v="600"/>
    <x v="0"/>
    <x v="1"/>
  </r>
  <r>
    <s v="ORD788"/>
    <s v="CUST198"/>
    <d v="2025-07-08T00:00:00"/>
    <x v="0"/>
    <s v="Outwear"/>
    <n v="8"/>
    <n v="120"/>
    <n v="960"/>
    <x v="3"/>
    <x v="2"/>
  </r>
  <r>
    <s v="ORD789"/>
    <s v="CUST017"/>
    <d v="2025-02-17T00:00:00"/>
    <x v="0"/>
    <s v="Outwear"/>
    <n v="7"/>
    <n v="120"/>
    <n v="840"/>
    <x v="2"/>
    <x v="0"/>
  </r>
  <r>
    <s v="ORD790"/>
    <s v="CUST093"/>
    <d v="2025-12-19T00:00:00"/>
    <x v="2"/>
    <s v="Footwear"/>
    <n v="7"/>
    <n v="90"/>
    <n v="630"/>
    <x v="2"/>
    <x v="0"/>
  </r>
  <r>
    <s v="ORD791"/>
    <s v="CUST023"/>
    <d v="2025-05-13T00:00:00"/>
    <x v="2"/>
    <s v="Footwear"/>
    <n v="4"/>
    <n v="90"/>
    <n v="360"/>
    <x v="3"/>
    <x v="1"/>
  </r>
  <r>
    <s v="ORD792"/>
    <s v="CUST074"/>
    <d v="2025-07-14T00:00:00"/>
    <x v="2"/>
    <s v="Footwear"/>
    <n v="10"/>
    <n v="90"/>
    <n v="900"/>
    <x v="0"/>
    <x v="0"/>
  </r>
  <r>
    <s v="ORD793"/>
    <s v="CUST086"/>
    <d v="2025-05-25T00:00:00"/>
    <x v="4"/>
    <s v="Tops"/>
    <n v="9"/>
    <n v="25"/>
    <n v="225"/>
    <x v="1"/>
    <x v="1"/>
  </r>
  <r>
    <s v="ORD794"/>
    <s v="CUST089"/>
    <d v="2025-01-10T00:00:00"/>
    <x v="0"/>
    <s v="Outwear"/>
    <n v="8"/>
    <n v="120"/>
    <n v="960"/>
    <x v="1"/>
    <x v="1"/>
  </r>
  <r>
    <s v="ORD795"/>
    <s v="CUST166"/>
    <d v="2025-11-17T00:00:00"/>
    <x v="3"/>
    <s v="Dresses"/>
    <n v="9"/>
    <n v="80"/>
    <n v="720"/>
    <x v="1"/>
    <x v="1"/>
  </r>
  <r>
    <s v="ORD796"/>
    <s v="CUST014"/>
    <d v="2025-07-08T00:00:00"/>
    <x v="2"/>
    <s v="Footwear"/>
    <n v="1"/>
    <n v="90"/>
    <n v="90"/>
    <x v="3"/>
    <x v="0"/>
  </r>
  <r>
    <s v="ORD797"/>
    <s v="CUST168"/>
    <d v="2025-11-10T00:00:00"/>
    <x v="3"/>
    <s v="Dresses"/>
    <n v="5"/>
    <n v="80"/>
    <n v="400"/>
    <x v="2"/>
    <x v="1"/>
  </r>
  <r>
    <s v="ORD798"/>
    <s v="CUST136"/>
    <d v="2025-12-14T00:00:00"/>
    <x v="4"/>
    <s v="Tops"/>
    <n v="5"/>
    <n v="25"/>
    <n v="125"/>
    <x v="2"/>
    <x v="0"/>
  </r>
  <r>
    <s v="ORD799"/>
    <s v="CUST171"/>
    <d v="2025-04-11T00:00:00"/>
    <x v="3"/>
    <s v="Dresses"/>
    <n v="9"/>
    <n v="80"/>
    <n v="720"/>
    <x v="1"/>
    <x v="1"/>
  </r>
  <r>
    <s v="ORD800"/>
    <s v="CUST156"/>
    <d v="2025-01-21T00:00:00"/>
    <x v="4"/>
    <s v="Tops"/>
    <n v="8"/>
    <n v="25"/>
    <n v="200"/>
    <x v="1"/>
    <x v="0"/>
  </r>
  <r>
    <s v="ORD801"/>
    <s v="CUST197"/>
    <d v="2025-10-22T00:00:00"/>
    <x v="0"/>
    <s v="Outwear"/>
    <n v="7"/>
    <n v="120"/>
    <n v="840"/>
    <x v="3"/>
    <x v="0"/>
  </r>
  <r>
    <s v="ORD802"/>
    <s v="CUST157"/>
    <d v="2025-01-13T00:00:00"/>
    <x v="0"/>
    <s v="Outwear"/>
    <n v="1"/>
    <n v="120"/>
    <n v="120"/>
    <x v="1"/>
    <x v="0"/>
  </r>
  <r>
    <s v="ORD803"/>
    <s v="CUST163"/>
    <d v="2025-10-02T00:00:00"/>
    <x v="2"/>
    <s v="Footwear"/>
    <n v="7"/>
    <n v="90"/>
    <n v="630"/>
    <x v="2"/>
    <x v="1"/>
  </r>
  <r>
    <s v="ORD804"/>
    <s v="CUST138"/>
    <d v="2025-11-23T00:00:00"/>
    <x v="0"/>
    <s v="Outwear"/>
    <n v="4"/>
    <n v="120"/>
    <n v="480"/>
    <x v="0"/>
    <x v="2"/>
  </r>
  <r>
    <s v="ORD805"/>
    <s v="CUST143"/>
    <d v="2025-11-26T00:00:00"/>
    <x v="3"/>
    <s v="Dresses"/>
    <n v="6"/>
    <n v="80"/>
    <n v="480"/>
    <x v="3"/>
    <x v="1"/>
  </r>
  <r>
    <s v="ORD806"/>
    <s v="CUST150"/>
    <d v="2025-05-01T00:00:00"/>
    <x v="4"/>
    <s v="Tops"/>
    <n v="3"/>
    <n v="25"/>
    <n v="75"/>
    <x v="1"/>
    <x v="1"/>
  </r>
  <r>
    <s v="ORD807"/>
    <s v="CUST170"/>
    <d v="2025-01-31T00:00:00"/>
    <x v="2"/>
    <s v="Footwear"/>
    <n v="6"/>
    <n v="90"/>
    <n v="540"/>
    <x v="2"/>
    <x v="1"/>
  </r>
  <r>
    <s v="ORD808"/>
    <s v="CUST166"/>
    <d v="2025-08-10T00:00:00"/>
    <x v="1"/>
    <s v="Bottoms"/>
    <n v="9"/>
    <n v="60"/>
    <n v="540"/>
    <x v="0"/>
    <x v="1"/>
  </r>
  <r>
    <s v="ORD809"/>
    <s v="CUST183"/>
    <d v="2025-01-26T00:00:00"/>
    <x v="2"/>
    <s v="Footwear"/>
    <n v="5"/>
    <n v="90"/>
    <n v="450"/>
    <x v="3"/>
    <x v="1"/>
  </r>
  <r>
    <s v="ORD810"/>
    <s v="CUST192"/>
    <d v="2025-09-06T00:00:00"/>
    <x v="0"/>
    <s v="Outwear"/>
    <n v="10"/>
    <n v="120"/>
    <n v="1200"/>
    <x v="2"/>
    <x v="1"/>
  </r>
  <r>
    <s v="ORD811"/>
    <s v="CUST088"/>
    <d v="2025-01-23T00:00:00"/>
    <x v="1"/>
    <s v="Bottoms"/>
    <n v="3"/>
    <n v="60"/>
    <n v="180"/>
    <x v="0"/>
    <x v="1"/>
  </r>
  <r>
    <s v="ORD812"/>
    <s v="CUST140"/>
    <d v="2025-06-22T00:00:00"/>
    <x v="1"/>
    <s v="Bottoms"/>
    <n v="1"/>
    <n v="60"/>
    <n v="60"/>
    <x v="0"/>
    <x v="2"/>
  </r>
  <r>
    <s v="ORD813"/>
    <s v="CUST061"/>
    <d v="2025-10-08T00:00:00"/>
    <x v="2"/>
    <s v="Footwear"/>
    <n v="2"/>
    <n v="90"/>
    <n v="180"/>
    <x v="1"/>
    <x v="1"/>
  </r>
  <r>
    <s v="ORD814"/>
    <s v="CUST055"/>
    <d v="2025-04-16T00:00:00"/>
    <x v="0"/>
    <s v="Outwear"/>
    <n v="9"/>
    <n v="120"/>
    <n v="1080"/>
    <x v="2"/>
    <x v="0"/>
  </r>
  <r>
    <s v="ORD815"/>
    <s v="CUST022"/>
    <d v="2025-06-30T00:00:00"/>
    <x v="1"/>
    <s v="Bottoms"/>
    <n v="1"/>
    <n v="60"/>
    <n v="60"/>
    <x v="1"/>
    <x v="1"/>
  </r>
  <r>
    <s v="ORD816"/>
    <s v="CUST133"/>
    <d v="2025-03-10T00:00:00"/>
    <x v="4"/>
    <s v="Tops"/>
    <n v="1"/>
    <n v="25"/>
    <n v="25"/>
    <x v="3"/>
    <x v="0"/>
  </r>
  <r>
    <s v="ORD817"/>
    <s v="CUST132"/>
    <d v="2025-12-30T00:00:00"/>
    <x v="3"/>
    <s v="Dresses"/>
    <n v="2"/>
    <n v="80"/>
    <n v="160"/>
    <x v="1"/>
    <x v="1"/>
  </r>
  <r>
    <s v="ORD818"/>
    <s v="CUST005"/>
    <d v="2025-02-16T00:00:00"/>
    <x v="0"/>
    <s v="Outwear"/>
    <n v="9"/>
    <n v="120"/>
    <n v="1080"/>
    <x v="3"/>
    <x v="1"/>
  </r>
  <r>
    <s v="ORD819"/>
    <s v="CUST109"/>
    <d v="2025-06-28T00:00:00"/>
    <x v="2"/>
    <s v="Footwear"/>
    <n v="9"/>
    <n v="90"/>
    <n v="810"/>
    <x v="0"/>
    <x v="1"/>
  </r>
  <r>
    <s v="ORD820"/>
    <s v="CUST058"/>
    <d v="2025-09-21T00:00:00"/>
    <x v="2"/>
    <s v="Footwear"/>
    <n v="1"/>
    <n v="90"/>
    <n v="90"/>
    <x v="0"/>
    <x v="2"/>
  </r>
  <r>
    <s v="ORD821"/>
    <s v="CUST154"/>
    <d v="2025-02-19T00:00:00"/>
    <x v="1"/>
    <s v="Bottoms"/>
    <n v="2"/>
    <n v="60"/>
    <n v="120"/>
    <x v="3"/>
    <x v="0"/>
  </r>
  <r>
    <s v="ORD822"/>
    <s v="CUST138"/>
    <d v="2025-03-04T00:00:00"/>
    <x v="1"/>
    <s v="Bottoms"/>
    <n v="10"/>
    <n v="60"/>
    <n v="600"/>
    <x v="3"/>
    <x v="2"/>
  </r>
  <r>
    <s v="ORD823"/>
    <s v="CUST135"/>
    <d v="2025-12-02T00:00:00"/>
    <x v="2"/>
    <s v="Footwear"/>
    <n v="9"/>
    <n v="90"/>
    <n v="810"/>
    <x v="2"/>
    <x v="0"/>
  </r>
  <r>
    <s v="ORD824"/>
    <s v="CUST049"/>
    <d v="2025-09-08T00:00:00"/>
    <x v="3"/>
    <s v="Dresses"/>
    <n v="1"/>
    <n v="80"/>
    <n v="80"/>
    <x v="0"/>
    <x v="1"/>
  </r>
  <r>
    <s v="ORD825"/>
    <s v="CUST083"/>
    <d v="2025-05-08T00:00:00"/>
    <x v="3"/>
    <s v="Dresses"/>
    <n v="4"/>
    <n v="80"/>
    <n v="320"/>
    <x v="3"/>
    <x v="1"/>
  </r>
  <r>
    <s v="ORD826"/>
    <s v="CUST085"/>
    <d v="2025-02-15T00:00:00"/>
    <x v="0"/>
    <s v="Outwear"/>
    <n v="9"/>
    <n v="120"/>
    <n v="1080"/>
    <x v="3"/>
    <x v="1"/>
  </r>
  <r>
    <s v="ORD827"/>
    <s v="CUST155"/>
    <d v="2025-11-04T00:00:00"/>
    <x v="0"/>
    <s v="Outwear"/>
    <n v="1"/>
    <n v="120"/>
    <n v="120"/>
    <x v="1"/>
    <x v="0"/>
  </r>
  <r>
    <s v="ORD828"/>
    <s v="CUST074"/>
    <d v="2025-05-29T00:00:00"/>
    <x v="0"/>
    <s v="Outwear"/>
    <n v="3"/>
    <n v="120"/>
    <n v="360"/>
    <x v="0"/>
    <x v="0"/>
  </r>
  <r>
    <s v="ORD829"/>
    <s v="CUST151"/>
    <d v="2025-01-05T00:00:00"/>
    <x v="4"/>
    <s v="Tops"/>
    <n v="6"/>
    <n v="25"/>
    <n v="150"/>
    <x v="2"/>
    <x v="1"/>
  </r>
  <r>
    <s v="ORD830"/>
    <s v="CUST165"/>
    <d v="2025-11-11T00:00:00"/>
    <x v="0"/>
    <s v="Outwear"/>
    <n v="7"/>
    <n v="120"/>
    <n v="840"/>
    <x v="0"/>
    <x v="1"/>
  </r>
  <r>
    <s v="ORD831"/>
    <s v="CUST022"/>
    <d v="2025-07-22T00:00:00"/>
    <x v="1"/>
    <s v="Bottoms"/>
    <n v="7"/>
    <n v="60"/>
    <n v="420"/>
    <x v="0"/>
    <x v="1"/>
  </r>
  <r>
    <s v="ORD832"/>
    <s v="CUST003"/>
    <d v="2025-02-17T00:00:00"/>
    <x v="2"/>
    <s v="Footwear"/>
    <n v="10"/>
    <n v="90"/>
    <n v="900"/>
    <x v="2"/>
    <x v="1"/>
  </r>
  <r>
    <s v="ORD833"/>
    <s v="CUST184"/>
    <d v="2025-08-29T00:00:00"/>
    <x v="2"/>
    <s v="Footwear"/>
    <n v="1"/>
    <n v="90"/>
    <n v="90"/>
    <x v="3"/>
    <x v="1"/>
  </r>
  <r>
    <s v="ORD834"/>
    <s v="CUST003"/>
    <d v="2025-03-30T00:00:00"/>
    <x v="2"/>
    <s v="Footwear"/>
    <n v="6"/>
    <n v="90"/>
    <n v="540"/>
    <x v="1"/>
    <x v="1"/>
  </r>
  <r>
    <s v="ORD835"/>
    <s v="CUST177"/>
    <d v="2025-12-08T00:00:00"/>
    <x v="3"/>
    <s v="Dresses"/>
    <n v="10"/>
    <n v="80"/>
    <n v="800"/>
    <x v="2"/>
    <x v="0"/>
  </r>
  <r>
    <s v="ORD836"/>
    <s v="CUST106"/>
    <d v="2025-12-08T00:00:00"/>
    <x v="2"/>
    <s v="Footwear"/>
    <n v="4"/>
    <n v="90"/>
    <n v="360"/>
    <x v="3"/>
    <x v="1"/>
  </r>
  <r>
    <s v="ORD837"/>
    <s v="CUST186"/>
    <d v="2025-08-03T00:00:00"/>
    <x v="1"/>
    <s v="Bottoms"/>
    <n v="9"/>
    <n v="60"/>
    <n v="540"/>
    <x v="0"/>
    <x v="1"/>
  </r>
  <r>
    <s v="ORD838"/>
    <s v="CUST105"/>
    <d v="2025-06-14T00:00:00"/>
    <x v="3"/>
    <s v="Dresses"/>
    <n v="4"/>
    <n v="80"/>
    <n v="320"/>
    <x v="2"/>
    <x v="1"/>
  </r>
  <r>
    <s v="ORD839"/>
    <s v="CUST104"/>
    <d v="2025-10-18T00:00:00"/>
    <x v="4"/>
    <s v="Tops"/>
    <n v="9"/>
    <n v="25"/>
    <n v="225"/>
    <x v="2"/>
    <x v="1"/>
  </r>
  <r>
    <s v="ORD840"/>
    <s v="CUST004"/>
    <d v="2025-11-01T00:00:00"/>
    <x v="3"/>
    <s v="Dresses"/>
    <n v="9"/>
    <n v="80"/>
    <n v="720"/>
    <x v="3"/>
    <x v="1"/>
  </r>
  <r>
    <s v="ORD841"/>
    <s v="CUST145"/>
    <d v="2025-07-19T00:00:00"/>
    <x v="0"/>
    <s v="Outwear"/>
    <n v="8"/>
    <n v="120"/>
    <n v="960"/>
    <x v="3"/>
    <x v="1"/>
  </r>
  <r>
    <s v="ORD842"/>
    <s v="CUST069"/>
    <d v="2025-09-11T00:00:00"/>
    <x v="3"/>
    <s v="Dresses"/>
    <n v="4"/>
    <n v="80"/>
    <n v="320"/>
    <x v="0"/>
    <x v="1"/>
  </r>
  <r>
    <s v="ORD843"/>
    <s v="CUST126"/>
    <d v="2025-09-06T00:00:00"/>
    <x v="1"/>
    <s v="Bottoms"/>
    <n v="10"/>
    <n v="60"/>
    <n v="600"/>
    <x v="0"/>
    <x v="1"/>
  </r>
  <r>
    <s v="ORD844"/>
    <s v="CUST045"/>
    <d v="2025-06-02T00:00:00"/>
    <x v="2"/>
    <s v="Footwear"/>
    <n v="7"/>
    <n v="90"/>
    <n v="630"/>
    <x v="1"/>
    <x v="1"/>
  </r>
  <r>
    <s v="ORD845"/>
    <s v="CUST025"/>
    <d v="2025-05-06T00:00:00"/>
    <x v="0"/>
    <s v="Outwear"/>
    <n v="3"/>
    <n v="120"/>
    <n v="360"/>
    <x v="3"/>
    <x v="1"/>
  </r>
  <r>
    <s v="ORD846"/>
    <s v="CUST156"/>
    <d v="2025-02-22T00:00:00"/>
    <x v="2"/>
    <s v="Footwear"/>
    <n v="1"/>
    <n v="90"/>
    <n v="90"/>
    <x v="3"/>
    <x v="0"/>
  </r>
  <r>
    <s v="ORD847"/>
    <s v="CUST197"/>
    <d v="2025-06-14T00:00:00"/>
    <x v="0"/>
    <s v="Outwear"/>
    <n v="10"/>
    <n v="120"/>
    <n v="1200"/>
    <x v="1"/>
    <x v="0"/>
  </r>
  <r>
    <s v="ORD848"/>
    <s v="CUST153"/>
    <d v="2025-09-27T00:00:00"/>
    <x v="2"/>
    <s v="Footwear"/>
    <n v="4"/>
    <n v="90"/>
    <n v="360"/>
    <x v="1"/>
    <x v="0"/>
  </r>
  <r>
    <s v="ORD849"/>
    <s v="CUST162"/>
    <d v="2025-04-30T00:00:00"/>
    <x v="4"/>
    <s v="Tops"/>
    <n v="4"/>
    <n v="25"/>
    <n v="100"/>
    <x v="2"/>
    <x v="1"/>
  </r>
  <r>
    <s v="ORD850"/>
    <s v="CUST010"/>
    <d v="2025-04-28T00:00:00"/>
    <x v="0"/>
    <s v="Outwear"/>
    <n v="2"/>
    <n v="120"/>
    <n v="240"/>
    <x v="0"/>
    <x v="1"/>
  </r>
  <r>
    <s v="ORD851"/>
    <s v="CUST018"/>
    <d v="2025-02-27T00:00:00"/>
    <x v="1"/>
    <s v="Bottoms"/>
    <n v="6"/>
    <n v="60"/>
    <n v="360"/>
    <x v="1"/>
    <x v="2"/>
  </r>
  <r>
    <s v="ORD852"/>
    <s v="CUST172"/>
    <d v="2025-05-02T00:00:00"/>
    <x v="2"/>
    <s v="Footwear"/>
    <n v="8"/>
    <n v="90"/>
    <n v="720"/>
    <x v="0"/>
    <x v="1"/>
  </r>
  <r>
    <s v="ORD853"/>
    <s v="CUST089"/>
    <d v="2025-07-04T00:00:00"/>
    <x v="2"/>
    <s v="Footwear"/>
    <n v="8"/>
    <n v="90"/>
    <n v="720"/>
    <x v="2"/>
    <x v="1"/>
  </r>
  <r>
    <s v="ORD854"/>
    <s v="CUST039"/>
    <d v="2025-08-05T00:00:00"/>
    <x v="3"/>
    <s v="Dresses"/>
    <n v="9"/>
    <n v="80"/>
    <n v="720"/>
    <x v="2"/>
    <x v="2"/>
  </r>
  <r>
    <s v="ORD855"/>
    <s v="CUST120"/>
    <d v="2025-08-12T00:00:00"/>
    <x v="0"/>
    <s v="Outwear"/>
    <n v="6"/>
    <n v="120"/>
    <n v="720"/>
    <x v="1"/>
    <x v="2"/>
  </r>
  <r>
    <s v="ORD856"/>
    <s v="CUST036"/>
    <d v="2025-12-23T00:00:00"/>
    <x v="0"/>
    <s v="Outwear"/>
    <n v="2"/>
    <n v="120"/>
    <n v="240"/>
    <x v="1"/>
    <x v="0"/>
  </r>
  <r>
    <s v="ORD857"/>
    <s v="CUST111"/>
    <d v="2025-12-19T00:00:00"/>
    <x v="3"/>
    <s v="Dresses"/>
    <n v="2"/>
    <n v="80"/>
    <n v="160"/>
    <x v="1"/>
    <x v="1"/>
  </r>
  <r>
    <s v="ORD858"/>
    <s v="CUST066"/>
    <d v="2025-04-29T00:00:00"/>
    <x v="3"/>
    <s v="Dresses"/>
    <n v="3"/>
    <n v="80"/>
    <n v="240"/>
    <x v="1"/>
    <x v="1"/>
  </r>
  <r>
    <s v="ORD859"/>
    <s v="CUST067"/>
    <d v="2025-02-24T00:00:00"/>
    <x v="2"/>
    <s v="Footwear"/>
    <n v="5"/>
    <n v="90"/>
    <n v="450"/>
    <x v="2"/>
    <x v="1"/>
  </r>
  <r>
    <s v="ORD860"/>
    <s v="CUST081"/>
    <d v="2025-03-05T00:00:00"/>
    <x v="1"/>
    <s v="Bottoms"/>
    <n v="4"/>
    <n v="60"/>
    <n v="240"/>
    <x v="1"/>
    <x v="1"/>
  </r>
  <r>
    <s v="ORD861"/>
    <s v="CUST075"/>
    <d v="2025-04-13T00:00:00"/>
    <x v="0"/>
    <s v="Outwear"/>
    <n v="1"/>
    <n v="120"/>
    <n v="120"/>
    <x v="0"/>
    <x v="0"/>
  </r>
  <r>
    <s v="ORD862"/>
    <s v="CUST045"/>
    <d v="2025-08-23T00:00:00"/>
    <x v="0"/>
    <s v="Outwear"/>
    <n v="6"/>
    <n v="120"/>
    <n v="720"/>
    <x v="0"/>
    <x v="1"/>
  </r>
  <r>
    <s v="ORD863"/>
    <s v="CUST024"/>
    <d v="2025-11-30T00:00:00"/>
    <x v="2"/>
    <s v="Footwear"/>
    <n v="4"/>
    <n v="90"/>
    <n v="360"/>
    <x v="3"/>
    <x v="1"/>
  </r>
  <r>
    <s v="ORD864"/>
    <s v="CUST072"/>
    <d v="2025-06-16T00:00:00"/>
    <x v="3"/>
    <s v="Dresses"/>
    <n v="7"/>
    <n v="80"/>
    <n v="560"/>
    <x v="0"/>
    <x v="1"/>
  </r>
  <r>
    <s v="ORD865"/>
    <s v="CUST027"/>
    <d v="2025-04-09T00:00:00"/>
    <x v="2"/>
    <s v="Footwear"/>
    <n v="3"/>
    <n v="90"/>
    <n v="270"/>
    <x v="3"/>
    <x v="1"/>
  </r>
  <r>
    <s v="ORD866"/>
    <s v="CUST147"/>
    <d v="2025-02-21T00:00:00"/>
    <x v="4"/>
    <s v="Tops"/>
    <n v="10"/>
    <n v="25"/>
    <n v="250"/>
    <x v="1"/>
    <x v="1"/>
  </r>
  <r>
    <s v="ORD867"/>
    <s v="CUST197"/>
    <d v="2025-09-16T00:00:00"/>
    <x v="1"/>
    <s v="Bottoms"/>
    <n v="9"/>
    <n v="60"/>
    <n v="540"/>
    <x v="1"/>
    <x v="0"/>
  </r>
  <r>
    <s v="ORD868"/>
    <s v="CUST078"/>
    <d v="2025-03-23T00:00:00"/>
    <x v="4"/>
    <s v="Tops"/>
    <n v="2"/>
    <n v="25"/>
    <n v="50"/>
    <x v="0"/>
    <x v="2"/>
  </r>
  <r>
    <s v="ORD869"/>
    <s v="CUST038"/>
    <d v="2025-06-30T00:00:00"/>
    <x v="1"/>
    <s v="Bottoms"/>
    <n v="6"/>
    <n v="60"/>
    <n v="360"/>
    <x v="3"/>
    <x v="2"/>
  </r>
  <r>
    <s v="ORD870"/>
    <s v="CUST157"/>
    <d v="2025-01-26T00:00:00"/>
    <x v="0"/>
    <s v="Outwear"/>
    <n v="6"/>
    <n v="120"/>
    <n v="720"/>
    <x v="1"/>
    <x v="0"/>
  </r>
  <r>
    <s v="ORD871"/>
    <s v="CUST045"/>
    <d v="2025-12-15T00:00:00"/>
    <x v="4"/>
    <s v="Tops"/>
    <n v="7"/>
    <n v="25"/>
    <n v="175"/>
    <x v="1"/>
    <x v="1"/>
  </r>
  <r>
    <s v="ORD872"/>
    <s v="CUST016"/>
    <d v="2025-06-15T00:00:00"/>
    <x v="1"/>
    <s v="Bottoms"/>
    <n v="4"/>
    <n v="60"/>
    <n v="240"/>
    <x v="1"/>
    <x v="0"/>
  </r>
  <r>
    <s v="ORD873"/>
    <s v="CUST040"/>
    <d v="2025-03-15T00:00:00"/>
    <x v="3"/>
    <s v="Dresses"/>
    <n v="6"/>
    <n v="80"/>
    <n v="480"/>
    <x v="3"/>
    <x v="2"/>
  </r>
  <r>
    <s v="ORD874"/>
    <s v="CUST116"/>
    <d v="2025-07-02T00:00:00"/>
    <x v="2"/>
    <s v="Footwear"/>
    <n v="3"/>
    <n v="90"/>
    <n v="270"/>
    <x v="3"/>
    <x v="0"/>
  </r>
  <r>
    <s v="ORD875"/>
    <s v="CUST021"/>
    <d v="2025-12-10T00:00:00"/>
    <x v="4"/>
    <s v="Tops"/>
    <n v="10"/>
    <n v="25"/>
    <n v="250"/>
    <x v="1"/>
    <x v="1"/>
  </r>
  <r>
    <s v="ORD876"/>
    <s v="CUST107"/>
    <d v="2025-10-29T00:00:00"/>
    <x v="1"/>
    <s v="Bottoms"/>
    <n v="3"/>
    <n v="60"/>
    <n v="180"/>
    <x v="2"/>
    <x v="1"/>
  </r>
  <r>
    <s v="ORD877"/>
    <s v="CUST095"/>
    <d v="2025-05-26T00:00:00"/>
    <x v="0"/>
    <s v="Outwear"/>
    <n v="2"/>
    <n v="120"/>
    <n v="240"/>
    <x v="1"/>
    <x v="0"/>
  </r>
  <r>
    <s v="ORD878"/>
    <s v="CUST030"/>
    <d v="2025-01-27T00:00:00"/>
    <x v="0"/>
    <s v="Outwear"/>
    <n v="3"/>
    <n v="120"/>
    <n v="360"/>
    <x v="3"/>
    <x v="1"/>
  </r>
  <r>
    <s v="ORD879"/>
    <s v="CUST114"/>
    <d v="2025-09-08T00:00:00"/>
    <x v="2"/>
    <s v="Footwear"/>
    <n v="1"/>
    <n v="90"/>
    <n v="90"/>
    <x v="2"/>
    <x v="0"/>
  </r>
  <r>
    <s v="ORD880"/>
    <s v="CUST047"/>
    <d v="2025-05-24T00:00:00"/>
    <x v="2"/>
    <s v="Footwear"/>
    <n v="10"/>
    <n v="90"/>
    <n v="900"/>
    <x v="2"/>
    <x v="1"/>
  </r>
  <r>
    <s v="ORD881"/>
    <s v="CUST157"/>
    <d v="2025-11-10T00:00:00"/>
    <x v="0"/>
    <s v="Outwear"/>
    <n v="7"/>
    <n v="120"/>
    <n v="840"/>
    <x v="2"/>
    <x v="0"/>
  </r>
  <r>
    <s v="ORD882"/>
    <s v="CUST048"/>
    <d v="2025-02-01T00:00:00"/>
    <x v="1"/>
    <s v="Bottoms"/>
    <n v="5"/>
    <n v="60"/>
    <n v="300"/>
    <x v="0"/>
    <x v="1"/>
  </r>
  <r>
    <s v="ORD883"/>
    <s v="CUST138"/>
    <d v="2025-03-09T00:00:00"/>
    <x v="2"/>
    <s v="Footwear"/>
    <n v="6"/>
    <n v="90"/>
    <n v="540"/>
    <x v="0"/>
    <x v="2"/>
  </r>
  <r>
    <s v="ORD884"/>
    <s v="CUST101"/>
    <d v="2025-09-10T00:00:00"/>
    <x v="2"/>
    <s v="Footwear"/>
    <n v="4"/>
    <n v="90"/>
    <n v="360"/>
    <x v="2"/>
    <x v="1"/>
  </r>
  <r>
    <s v="ORD885"/>
    <s v="CUST146"/>
    <d v="2025-09-30T00:00:00"/>
    <x v="1"/>
    <s v="Bottoms"/>
    <n v="10"/>
    <n v="60"/>
    <n v="600"/>
    <x v="3"/>
    <x v="1"/>
  </r>
  <r>
    <s v="ORD886"/>
    <s v="CUST170"/>
    <d v="2025-02-27T00:00:00"/>
    <x v="3"/>
    <s v="Dresses"/>
    <n v="1"/>
    <n v="80"/>
    <n v="80"/>
    <x v="2"/>
    <x v="1"/>
  </r>
  <r>
    <s v="ORD887"/>
    <s v="CUST187"/>
    <d v="2025-04-05T00:00:00"/>
    <x v="0"/>
    <s v="Outwear"/>
    <n v="6"/>
    <n v="120"/>
    <n v="720"/>
    <x v="1"/>
    <x v="1"/>
  </r>
  <r>
    <s v="ORD888"/>
    <s v="CUST036"/>
    <d v="2025-05-30T00:00:00"/>
    <x v="4"/>
    <s v="Tops"/>
    <n v="6"/>
    <n v="25"/>
    <n v="150"/>
    <x v="3"/>
    <x v="0"/>
  </r>
  <r>
    <s v="ORD889"/>
    <s v="CUST035"/>
    <d v="2025-03-25T00:00:00"/>
    <x v="1"/>
    <s v="Bottoms"/>
    <n v="4"/>
    <n v="60"/>
    <n v="240"/>
    <x v="1"/>
    <x v="0"/>
  </r>
  <r>
    <s v="ORD890"/>
    <s v="CUST008"/>
    <d v="2025-05-31T00:00:00"/>
    <x v="1"/>
    <s v="Bottoms"/>
    <n v="2"/>
    <n v="60"/>
    <n v="120"/>
    <x v="3"/>
    <x v="1"/>
  </r>
  <r>
    <s v="ORD891"/>
    <s v="CUST099"/>
    <d v="2025-09-17T00:00:00"/>
    <x v="3"/>
    <s v="Dresses"/>
    <n v="1"/>
    <n v="80"/>
    <n v="80"/>
    <x v="1"/>
    <x v="2"/>
  </r>
  <r>
    <s v="ORD892"/>
    <s v="CUST199"/>
    <d v="2025-04-08T00:00:00"/>
    <x v="1"/>
    <s v="Bottoms"/>
    <n v="6"/>
    <n v="60"/>
    <n v="360"/>
    <x v="0"/>
    <x v="2"/>
  </r>
  <r>
    <s v="ORD893"/>
    <s v="CUST100"/>
    <d v="2025-08-09T00:00:00"/>
    <x v="1"/>
    <s v="Bottoms"/>
    <n v="10"/>
    <n v="60"/>
    <n v="600"/>
    <x v="1"/>
    <x v="2"/>
  </r>
  <r>
    <s v="ORD894"/>
    <s v="CUST047"/>
    <d v="2025-02-13T00:00:00"/>
    <x v="2"/>
    <s v="Footwear"/>
    <n v="10"/>
    <n v="90"/>
    <n v="900"/>
    <x v="1"/>
    <x v="1"/>
  </r>
  <r>
    <s v="ORD895"/>
    <s v="CUST101"/>
    <d v="2025-04-11T00:00:00"/>
    <x v="3"/>
    <s v="Dresses"/>
    <n v="7"/>
    <n v="80"/>
    <n v="560"/>
    <x v="1"/>
    <x v="1"/>
  </r>
  <r>
    <s v="ORD896"/>
    <s v="CUST137"/>
    <d v="2025-10-11T00:00:00"/>
    <x v="1"/>
    <s v="Bottoms"/>
    <n v="7"/>
    <n v="60"/>
    <n v="420"/>
    <x v="0"/>
    <x v="0"/>
  </r>
  <r>
    <s v="ORD897"/>
    <s v="CUST044"/>
    <d v="2025-01-25T00:00:00"/>
    <x v="2"/>
    <s v="Footwear"/>
    <n v="8"/>
    <n v="90"/>
    <n v="720"/>
    <x v="1"/>
    <x v="1"/>
  </r>
  <r>
    <s v="ORD898"/>
    <s v="CUST072"/>
    <d v="2025-01-13T00:00:00"/>
    <x v="4"/>
    <s v="Tops"/>
    <n v="1"/>
    <n v="25"/>
    <n v="25"/>
    <x v="0"/>
    <x v="1"/>
  </r>
  <r>
    <s v="ORD899"/>
    <s v="CUST059"/>
    <d v="2025-10-13T00:00:00"/>
    <x v="0"/>
    <s v="Outwear"/>
    <n v="6"/>
    <n v="120"/>
    <n v="720"/>
    <x v="1"/>
    <x v="2"/>
  </r>
  <r>
    <s v="ORD900"/>
    <s v="CUST051"/>
    <d v="2025-05-18T00:00:00"/>
    <x v="3"/>
    <s v="Dresses"/>
    <n v="4"/>
    <n v="80"/>
    <n v="320"/>
    <x v="3"/>
    <x v="1"/>
  </r>
  <r>
    <s v="ORD901"/>
    <s v="CUST017"/>
    <d v="2025-10-21T00:00:00"/>
    <x v="1"/>
    <s v="Bottoms"/>
    <n v="6"/>
    <n v="60"/>
    <n v="360"/>
    <x v="3"/>
    <x v="0"/>
  </r>
  <r>
    <s v="ORD902"/>
    <s v="CUST027"/>
    <d v="2025-07-09T00:00:00"/>
    <x v="4"/>
    <s v="Tops"/>
    <n v="6"/>
    <n v="25"/>
    <n v="150"/>
    <x v="0"/>
    <x v="1"/>
  </r>
  <r>
    <s v="ORD903"/>
    <s v="CUST126"/>
    <d v="2025-05-07T00:00:00"/>
    <x v="3"/>
    <s v="Dresses"/>
    <n v="7"/>
    <n v="80"/>
    <n v="560"/>
    <x v="2"/>
    <x v="1"/>
  </r>
  <r>
    <s v="ORD904"/>
    <s v="CUST169"/>
    <d v="2025-08-06T00:00:00"/>
    <x v="2"/>
    <s v="Footwear"/>
    <n v="6"/>
    <n v="90"/>
    <n v="540"/>
    <x v="0"/>
    <x v="1"/>
  </r>
  <r>
    <s v="ORD905"/>
    <s v="CUST140"/>
    <d v="2025-08-14T00:00:00"/>
    <x v="2"/>
    <s v="Footwear"/>
    <n v="10"/>
    <n v="90"/>
    <n v="900"/>
    <x v="3"/>
    <x v="2"/>
  </r>
  <r>
    <s v="ORD906"/>
    <s v="CUST188"/>
    <d v="2025-08-18T00:00:00"/>
    <x v="3"/>
    <s v="Dresses"/>
    <n v="1"/>
    <n v="80"/>
    <n v="80"/>
    <x v="2"/>
    <x v="1"/>
  </r>
  <r>
    <s v="ORD907"/>
    <s v="CUST060"/>
    <d v="2025-02-03T00:00:00"/>
    <x v="1"/>
    <s v="Bottoms"/>
    <n v="6"/>
    <n v="60"/>
    <n v="360"/>
    <x v="2"/>
    <x v="2"/>
  </r>
  <r>
    <s v="ORD908"/>
    <s v="CUST006"/>
    <d v="2025-06-20T00:00:00"/>
    <x v="4"/>
    <s v="Tops"/>
    <n v="4"/>
    <n v="25"/>
    <n v="100"/>
    <x v="3"/>
    <x v="1"/>
  </r>
  <r>
    <s v="ORD909"/>
    <s v="CUST115"/>
    <d v="2025-02-23T00:00:00"/>
    <x v="0"/>
    <s v="Outwear"/>
    <n v="7"/>
    <n v="120"/>
    <n v="840"/>
    <x v="2"/>
    <x v="0"/>
  </r>
  <r>
    <s v="ORD910"/>
    <s v="CUST097"/>
    <d v="2025-08-26T00:00:00"/>
    <x v="1"/>
    <s v="Bottoms"/>
    <n v="6"/>
    <n v="60"/>
    <n v="360"/>
    <x v="2"/>
    <x v="0"/>
  </r>
  <r>
    <s v="ORD911"/>
    <s v="CUST126"/>
    <d v="2025-05-27T00:00:00"/>
    <x v="3"/>
    <s v="Dresses"/>
    <n v="7"/>
    <n v="80"/>
    <n v="560"/>
    <x v="0"/>
    <x v="1"/>
  </r>
  <r>
    <s v="ORD912"/>
    <s v="CUST112"/>
    <d v="2025-03-06T00:00:00"/>
    <x v="2"/>
    <s v="Footwear"/>
    <n v="3"/>
    <n v="90"/>
    <n v="270"/>
    <x v="3"/>
    <x v="1"/>
  </r>
  <r>
    <s v="ORD913"/>
    <s v="CUST075"/>
    <d v="2025-06-18T00:00:00"/>
    <x v="3"/>
    <s v="Dresses"/>
    <n v="4"/>
    <n v="80"/>
    <n v="320"/>
    <x v="2"/>
    <x v="0"/>
  </r>
  <r>
    <s v="ORD914"/>
    <s v="CUST014"/>
    <d v="2025-11-11T00:00:00"/>
    <x v="0"/>
    <s v="Outwear"/>
    <n v="4"/>
    <n v="120"/>
    <n v="480"/>
    <x v="0"/>
    <x v="0"/>
  </r>
  <r>
    <s v="ORD915"/>
    <s v="CUST123"/>
    <d v="2025-11-18T00:00:00"/>
    <x v="1"/>
    <s v="Bottoms"/>
    <n v="5"/>
    <n v="60"/>
    <n v="300"/>
    <x v="1"/>
    <x v="1"/>
  </r>
  <r>
    <s v="ORD916"/>
    <s v="CUST056"/>
    <d v="2025-07-24T00:00:00"/>
    <x v="4"/>
    <s v="Tops"/>
    <n v="9"/>
    <n v="25"/>
    <n v="225"/>
    <x v="0"/>
    <x v="0"/>
  </r>
  <r>
    <s v="ORD917"/>
    <s v="CUST120"/>
    <d v="2025-04-01T00:00:00"/>
    <x v="3"/>
    <s v="Dresses"/>
    <n v="2"/>
    <n v="80"/>
    <n v="160"/>
    <x v="2"/>
    <x v="2"/>
  </r>
  <r>
    <s v="ORD918"/>
    <s v="CUST180"/>
    <d v="2025-09-01T00:00:00"/>
    <x v="1"/>
    <s v="Bottoms"/>
    <n v="9"/>
    <n v="60"/>
    <n v="540"/>
    <x v="0"/>
    <x v="2"/>
  </r>
  <r>
    <s v="ORD919"/>
    <s v="CUST027"/>
    <d v="2025-06-09T00:00:00"/>
    <x v="4"/>
    <s v="Tops"/>
    <n v="3"/>
    <n v="25"/>
    <n v="75"/>
    <x v="1"/>
    <x v="1"/>
  </r>
  <r>
    <s v="ORD920"/>
    <s v="CUST148"/>
    <d v="2025-09-03T00:00:00"/>
    <x v="4"/>
    <s v="Tops"/>
    <n v="8"/>
    <n v="25"/>
    <n v="200"/>
    <x v="0"/>
    <x v="1"/>
  </r>
  <r>
    <s v="ORD921"/>
    <s v="CUST159"/>
    <d v="2025-10-26T00:00:00"/>
    <x v="3"/>
    <s v="Dresses"/>
    <n v="4"/>
    <n v="80"/>
    <n v="320"/>
    <x v="0"/>
    <x v="2"/>
  </r>
  <r>
    <s v="ORD922"/>
    <s v="CUST082"/>
    <d v="2025-08-09T00:00:00"/>
    <x v="4"/>
    <s v="Tops"/>
    <n v="7"/>
    <n v="25"/>
    <n v="175"/>
    <x v="2"/>
    <x v="1"/>
  </r>
  <r>
    <s v="ORD923"/>
    <s v="CUST099"/>
    <d v="2025-09-11T00:00:00"/>
    <x v="2"/>
    <s v="Footwear"/>
    <n v="9"/>
    <n v="90"/>
    <n v="810"/>
    <x v="0"/>
    <x v="2"/>
  </r>
  <r>
    <s v="ORD924"/>
    <s v="CUST039"/>
    <d v="2025-01-21T00:00:00"/>
    <x v="0"/>
    <s v="Outwear"/>
    <n v="7"/>
    <n v="120"/>
    <n v="840"/>
    <x v="1"/>
    <x v="2"/>
  </r>
  <r>
    <s v="ORD925"/>
    <s v="CUST184"/>
    <d v="2025-02-15T00:00:00"/>
    <x v="3"/>
    <s v="Dresses"/>
    <n v="9"/>
    <n v="80"/>
    <n v="720"/>
    <x v="1"/>
    <x v="1"/>
  </r>
  <r>
    <s v="ORD926"/>
    <s v="CUST052"/>
    <d v="2025-09-08T00:00:00"/>
    <x v="4"/>
    <s v="Tops"/>
    <n v="7"/>
    <n v="25"/>
    <n v="175"/>
    <x v="0"/>
    <x v="1"/>
  </r>
  <r>
    <s v="ORD927"/>
    <s v="CUST117"/>
    <d v="2025-02-06T00:00:00"/>
    <x v="1"/>
    <s v="Bottoms"/>
    <n v="3"/>
    <n v="60"/>
    <n v="180"/>
    <x v="0"/>
    <x v="0"/>
  </r>
  <r>
    <s v="ORD928"/>
    <s v="CUST032"/>
    <d v="2025-08-28T00:00:00"/>
    <x v="3"/>
    <s v="Dresses"/>
    <n v="3"/>
    <n v="80"/>
    <n v="240"/>
    <x v="0"/>
    <x v="1"/>
  </r>
  <r>
    <s v="ORD929"/>
    <s v="CUST102"/>
    <d v="2025-11-07T00:00:00"/>
    <x v="3"/>
    <s v="Dresses"/>
    <n v="3"/>
    <n v="80"/>
    <n v="240"/>
    <x v="0"/>
    <x v="1"/>
  </r>
  <r>
    <s v="ORD930"/>
    <s v="CUST097"/>
    <d v="2025-05-16T00:00:00"/>
    <x v="0"/>
    <s v="Outwear"/>
    <n v="9"/>
    <n v="120"/>
    <n v="1080"/>
    <x v="0"/>
    <x v="0"/>
  </r>
  <r>
    <s v="ORD931"/>
    <s v="CUST183"/>
    <d v="2025-05-23T00:00:00"/>
    <x v="2"/>
    <s v="Footwear"/>
    <n v="8"/>
    <n v="90"/>
    <n v="720"/>
    <x v="0"/>
    <x v="1"/>
  </r>
  <r>
    <s v="ORD932"/>
    <s v="CUST052"/>
    <d v="2025-05-10T00:00:00"/>
    <x v="1"/>
    <s v="Bottoms"/>
    <n v="9"/>
    <n v="60"/>
    <n v="540"/>
    <x v="3"/>
    <x v="1"/>
  </r>
  <r>
    <s v="ORD933"/>
    <s v="CUST046"/>
    <d v="2025-04-12T00:00:00"/>
    <x v="3"/>
    <s v="Dresses"/>
    <n v="3"/>
    <n v="80"/>
    <n v="240"/>
    <x v="0"/>
    <x v="1"/>
  </r>
  <r>
    <s v="ORD934"/>
    <s v="CUST107"/>
    <d v="2025-06-19T00:00:00"/>
    <x v="4"/>
    <s v="Tops"/>
    <n v="6"/>
    <n v="25"/>
    <n v="150"/>
    <x v="2"/>
    <x v="1"/>
  </r>
  <r>
    <s v="ORD935"/>
    <s v="CUST009"/>
    <d v="2025-04-15T00:00:00"/>
    <x v="3"/>
    <s v="Dresses"/>
    <n v="8"/>
    <n v="80"/>
    <n v="640"/>
    <x v="2"/>
    <x v="1"/>
  </r>
  <r>
    <s v="ORD936"/>
    <s v="CUST129"/>
    <d v="2025-08-04T00:00:00"/>
    <x v="0"/>
    <s v="Outwear"/>
    <n v="9"/>
    <n v="120"/>
    <n v="1080"/>
    <x v="0"/>
    <x v="1"/>
  </r>
  <r>
    <s v="ORD937"/>
    <s v="CUST115"/>
    <d v="2025-08-02T00:00:00"/>
    <x v="3"/>
    <s v="Dresses"/>
    <n v="10"/>
    <n v="80"/>
    <n v="800"/>
    <x v="1"/>
    <x v="0"/>
  </r>
  <r>
    <s v="ORD938"/>
    <s v="CUST028"/>
    <d v="2025-05-05T00:00:00"/>
    <x v="0"/>
    <s v="Outwear"/>
    <n v="3"/>
    <n v="120"/>
    <n v="360"/>
    <x v="2"/>
    <x v="1"/>
  </r>
  <r>
    <s v="ORD939"/>
    <s v="CUST166"/>
    <d v="2025-01-02T00:00:00"/>
    <x v="0"/>
    <s v="Outwear"/>
    <n v="5"/>
    <n v="120"/>
    <n v="600"/>
    <x v="3"/>
    <x v="1"/>
  </r>
  <r>
    <s v="ORD940"/>
    <s v="CUST181"/>
    <d v="2025-07-19T00:00:00"/>
    <x v="2"/>
    <s v="Footwear"/>
    <n v="7"/>
    <n v="90"/>
    <n v="630"/>
    <x v="2"/>
    <x v="1"/>
  </r>
  <r>
    <s v="ORD941"/>
    <s v="CUST141"/>
    <d v="2025-05-04T00:00:00"/>
    <x v="1"/>
    <s v="Bottoms"/>
    <n v="5"/>
    <n v="60"/>
    <n v="300"/>
    <x v="2"/>
    <x v="1"/>
  </r>
  <r>
    <s v="ORD942"/>
    <s v="CUST122"/>
    <d v="2025-02-22T00:00:00"/>
    <x v="2"/>
    <s v="Footwear"/>
    <n v="8"/>
    <n v="90"/>
    <n v="720"/>
    <x v="0"/>
    <x v="1"/>
  </r>
  <r>
    <s v="ORD943"/>
    <s v="CUST044"/>
    <d v="2025-07-25T00:00:00"/>
    <x v="4"/>
    <s v="Tops"/>
    <n v="2"/>
    <n v="25"/>
    <n v="50"/>
    <x v="3"/>
    <x v="1"/>
  </r>
  <r>
    <s v="ORD944"/>
    <s v="CUST078"/>
    <d v="2025-10-08T00:00:00"/>
    <x v="1"/>
    <s v="Bottoms"/>
    <n v="1"/>
    <n v="60"/>
    <n v="60"/>
    <x v="3"/>
    <x v="2"/>
  </r>
  <r>
    <s v="ORD945"/>
    <s v="CUST189"/>
    <d v="2025-12-11T00:00:00"/>
    <x v="0"/>
    <s v="Outwear"/>
    <n v="5"/>
    <n v="120"/>
    <n v="600"/>
    <x v="3"/>
    <x v="1"/>
  </r>
  <r>
    <s v="ORD946"/>
    <s v="CUST172"/>
    <d v="2025-04-30T00:00:00"/>
    <x v="3"/>
    <s v="Dresses"/>
    <n v="10"/>
    <n v="80"/>
    <n v="800"/>
    <x v="3"/>
    <x v="1"/>
  </r>
  <r>
    <s v="ORD947"/>
    <s v="CUST018"/>
    <d v="2025-04-30T00:00:00"/>
    <x v="0"/>
    <s v="Outwear"/>
    <n v="8"/>
    <n v="120"/>
    <n v="960"/>
    <x v="2"/>
    <x v="2"/>
  </r>
  <r>
    <s v="ORD948"/>
    <s v="CUST052"/>
    <d v="2025-05-16T00:00:00"/>
    <x v="1"/>
    <s v="Bottoms"/>
    <n v="6"/>
    <n v="60"/>
    <n v="360"/>
    <x v="3"/>
    <x v="1"/>
  </r>
  <r>
    <s v="ORD949"/>
    <s v="CUST119"/>
    <d v="2025-12-07T00:00:00"/>
    <x v="2"/>
    <s v="Footwear"/>
    <n v="1"/>
    <n v="90"/>
    <n v="90"/>
    <x v="1"/>
    <x v="2"/>
  </r>
  <r>
    <s v="ORD950"/>
    <s v="CUST135"/>
    <d v="2025-09-28T00:00:00"/>
    <x v="0"/>
    <s v="Outwear"/>
    <n v="7"/>
    <n v="120"/>
    <n v="840"/>
    <x v="1"/>
    <x v="0"/>
  </r>
  <r>
    <s v="ORD951"/>
    <s v="CUST076"/>
    <d v="2025-06-17T00:00:00"/>
    <x v="4"/>
    <s v="Tops"/>
    <n v="6"/>
    <n v="25"/>
    <n v="150"/>
    <x v="0"/>
    <x v="0"/>
  </r>
  <r>
    <s v="ORD952"/>
    <s v="CUST194"/>
    <d v="2025-11-05T00:00:00"/>
    <x v="0"/>
    <s v="Outwear"/>
    <n v="3"/>
    <n v="120"/>
    <n v="360"/>
    <x v="3"/>
    <x v="0"/>
  </r>
  <r>
    <s v="ORD953"/>
    <s v="CUST186"/>
    <d v="2025-06-27T00:00:00"/>
    <x v="3"/>
    <s v="Dresses"/>
    <n v="7"/>
    <n v="80"/>
    <n v="560"/>
    <x v="3"/>
    <x v="1"/>
  </r>
  <r>
    <s v="ORD954"/>
    <s v="CUST116"/>
    <d v="2025-05-04T00:00:00"/>
    <x v="2"/>
    <s v="Footwear"/>
    <n v="9"/>
    <n v="90"/>
    <n v="810"/>
    <x v="0"/>
    <x v="0"/>
  </r>
  <r>
    <s v="ORD955"/>
    <s v="CUST174"/>
    <d v="2025-02-01T00:00:00"/>
    <x v="0"/>
    <s v="Outwear"/>
    <n v="7"/>
    <n v="120"/>
    <n v="840"/>
    <x v="0"/>
    <x v="0"/>
  </r>
  <r>
    <s v="ORD956"/>
    <s v="CUST169"/>
    <d v="2025-04-02T00:00:00"/>
    <x v="4"/>
    <s v="Tops"/>
    <n v="1"/>
    <n v="25"/>
    <n v="25"/>
    <x v="0"/>
    <x v="1"/>
  </r>
  <r>
    <s v="ORD957"/>
    <s v="CUST076"/>
    <d v="2025-11-09T00:00:00"/>
    <x v="4"/>
    <s v="Tops"/>
    <n v="1"/>
    <n v="25"/>
    <n v="25"/>
    <x v="1"/>
    <x v="0"/>
  </r>
  <r>
    <s v="ORD958"/>
    <s v="CUST140"/>
    <d v="2025-02-22T00:00:00"/>
    <x v="0"/>
    <s v="Outwear"/>
    <n v="1"/>
    <n v="120"/>
    <n v="120"/>
    <x v="0"/>
    <x v="2"/>
  </r>
  <r>
    <s v="ORD959"/>
    <s v="CUST171"/>
    <d v="2025-09-26T00:00:00"/>
    <x v="3"/>
    <s v="Dresses"/>
    <n v="6"/>
    <n v="80"/>
    <n v="480"/>
    <x v="0"/>
    <x v="1"/>
  </r>
  <r>
    <s v="ORD960"/>
    <s v="CUST131"/>
    <d v="2025-09-08T00:00:00"/>
    <x v="0"/>
    <s v="Outwear"/>
    <n v="7"/>
    <n v="120"/>
    <n v="840"/>
    <x v="2"/>
    <x v="1"/>
  </r>
  <r>
    <s v="ORD961"/>
    <s v="CUST042"/>
    <d v="2025-11-19T00:00:00"/>
    <x v="4"/>
    <s v="Tops"/>
    <n v="3"/>
    <n v="25"/>
    <n v="75"/>
    <x v="1"/>
    <x v="1"/>
  </r>
  <r>
    <s v="ORD962"/>
    <s v="CUST001"/>
    <d v="2025-02-05T00:00:00"/>
    <x v="1"/>
    <s v="Bottoms"/>
    <n v="9"/>
    <n v="60"/>
    <n v="540"/>
    <x v="1"/>
    <x v="1"/>
  </r>
  <r>
    <s v="ORD963"/>
    <s v="CUST177"/>
    <d v="2025-01-11T00:00:00"/>
    <x v="3"/>
    <s v="Dresses"/>
    <n v="7"/>
    <n v="80"/>
    <n v="560"/>
    <x v="2"/>
    <x v="0"/>
  </r>
  <r>
    <s v="ORD964"/>
    <s v="CUST042"/>
    <d v="2025-01-20T00:00:00"/>
    <x v="3"/>
    <s v="Dresses"/>
    <n v="5"/>
    <n v="80"/>
    <n v="400"/>
    <x v="1"/>
    <x v="1"/>
  </r>
  <r>
    <s v="ORD965"/>
    <s v="CUST042"/>
    <d v="2025-12-30T00:00:00"/>
    <x v="0"/>
    <s v="Outwear"/>
    <n v="1"/>
    <n v="120"/>
    <n v="120"/>
    <x v="2"/>
    <x v="1"/>
  </r>
  <r>
    <s v="ORD966"/>
    <s v="CUST025"/>
    <d v="2025-11-27T00:00:00"/>
    <x v="1"/>
    <s v="Bottoms"/>
    <n v="6"/>
    <n v="60"/>
    <n v="360"/>
    <x v="2"/>
    <x v="1"/>
  </r>
  <r>
    <s v="ORD967"/>
    <s v="CUST016"/>
    <d v="2025-11-28T00:00:00"/>
    <x v="4"/>
    <s v="Tops"/>
    <n v="10"/>
    <n v="25"/>
    <n v="250"/>
    <x v="2"/>
    <x v="0"/>
  </r>
  <r>
    <s v="ORD968"/>
    <s v="CUST087"/>
    <d v="2025-06-11T00:00:00"/>
    <x v="1"/>
    <s v="Bottoms"/>
    <n v="10"/>
    <n v="60"/>
    <n v="600"/>
    <x v="2"/>
    <x v="1"/>
  </r>
  <r>
    <s v="ORD969"/>
    <s v="CUST116"/>
    <d v="2025-06-16T00:00:00"/>
    <x v="0"/>
    <s v="Outwear"/>
    <n v="1"/>
    <n v="120"/>
    <n v="120"/>
    <x v="2"/>
    <x v="0"/>
  </r>
  <r>
    <s v="ORD970"/>
    <s v="CUST027"/>
    <d v="2025-03-21T00:00:00"/>
    <x v="3"/>
    <s v="Dresses"/>
    <n v="2"/>
    <n v="80"/>
    <n v="160"/>
    <x v="0"/>
    <x v="1"/>
  </r>
  <r>
    <s v="ORD971"/>
    <s v="CUST066"/>
    <d v="2025-04-15T00:00:00"/>
    <x v="3"/>
    <s v="Dresses"/>
    <n v="3"/>
    <n v="80"/>
    <n v="240"/>
    <x v="3"/>
    <x v="1"/>
  </r>
  <r>
    <s v="ORD972"/>
    <s v="CUST080"/>
    <d v="2025-10-17T00:00:00"/>
    <x v="0"/>
    <s v="Outwear"/>
    <n v="1"/>
    <n v="120"/>
    <n v="120"/>
    <x v="0"/>
    <x v="2"/>
  </r>
  <r>
    <s v="ORD973"/>
    <s v="CUST043"/>
    <d v="2025-06-23T00:00:00"/>
    <x v="1"/>
    <s v="Bottoms"/>
    <n v="3"/>
    <n v="60"/>
    <n v="180"/>
    <x v="2"/>
    <x v="1"/>
  </r>
  <r>
    <s v="ORD974"/>
    <s v="CUST191"/>
    <d v="2025-03-25T00:00:00"/>
    <x v="0"/>
    <s v="Outwear"/>
    <n v="1"/>
    <n v="120"/>
    <n v="120"/>
    <x v="3"/>
    <x v="1"/>
  </r>
  <r>
    <s v="ORD975"/>
    <s v="CUST011"/>
    <d v="2025-10-05T00:00:00"/>
    <x v="4"/>
    <s v="Tops"/>
    <n v="8"/>
    <n v="25"/>
    <n v="200"/>
    <x v="1"/>
    <x v="1"/>
  </r>
  <r>
    <s v="ORD976"/>
    <s v="CUST045"/>
    <d v="2025-09-28T00:00:00"/>
    <x v="1"/>
    <s v="Bottoms"/>
    <n v="7"/>
    <n v="60"/>
    <n v="420"/>
    <x v="1"/>
    <x v="1"/>
  </r>
  <r>
    <s v="ORD977"/>
    <s v="CUST090"/>
    <d v="2025-09-15T00:00:00"/>
    <x v="1"/>
    <s v="Bottoms"/>
    <n v="9"/>
    <n v="60"/>
    <n v="540"/>
    <x v="1"/>
    <x v="1"/>
  </r>
  <r>
    <s v="ORD978"/>
    <s v="CUST090"/>
    <d v="2025-01-04T00:00:00"/>
    <x v="4"/>
    <s v="Tops"/>
    <n v="4"/>
    <n v="25"/>
    <n v="100"/>
    <x v="3"/>
    <x v="1"/>
  </r>
  <r>
    <s v="ORD979"/>
    <s v="CUST141"/>
    <d v="2025-02-28T00:00:00"/>
    <x v="1"/>
    <s v="Bottoms"/>
    <n v="10"/>
    <n v="60"/>
    <n v="600"/>
    <x v="2"/>
    <x v="1"/>
  </r>
  <r>
    <s v="ORD980"/>
    <s v="CUST191"/>
    <d v="2025-11-12T00:00:00"/>
    <x v="0"/>
    <s v="Outwear"/>
    <n v="6"/>
    <n v="120"/>
    <n v="720"/>
    <x v="3"/>
    <x v="1"/>
  </r>
  <r>
    <s v="ORD981"/>
    <s v="CUST088"/>
    <d v="2025-05-23T00:00:00"/>
    <x v="2"/>
    <s v="Footwear"/>
    <n v="1"/>
    <n v="90"/>
    <n v="90"/>
    <x v="2"/>
    <x v="1"/>
  </r>
  <r>
    <s v="ORD982"/>
    <s v="CUST100"/>
    <d v="2025-09-08T00:00:00"/>
    <x v="0"/>
    <s v="Outwear"/>
    <n v="5"/>
    <n v="120"/>
    <n v="600"/>
    <x v="0"/>
    <x v="2"/>
  </r>
  <r>
    <s v="ORD983"/>
    <s v="CUST012"/>
    <d v="2025-07-20T00:00:00"/>
    <x v="0"/>
    <s v="Outwear"/>
    <n v="4"/>
    <n v="120"/>
    <n v="480"/>
    <x v="1"/>
    <x v="1"/>
  </r>
  <r>
    <s v="ORD984"/>
    <s v="CUST045"/>
    <d v="2025-06-03T00:00:00"/>
    <x v="0"/>
    <s v="Outwear"/>
    <n v="7"/>
    <n v="120"/>
    <n v="840"/>
    <x v="0"/>
    <x v="1"/>
  </r>
  <r>
    <s v="ORD985"/>
    <s v="CUST120"/>
    <d v="2025-09-10T00:00:00"/>
    <x v="0"/>
    <s v="Outwear"/>
    <n v="6"/>
    <n v="120"/>
    <n v="720"/>
    <x v="2"/>
    <x v="2"/>
  </r>
  <r>
    <s v="ORD986"/>
    <s v="CUST151"/>
    <d v="2025-06-27T00:00:00"/>
    <x v="1"/>
    <s v="Bottoms"/>
    <n v="10"/>
    <n v="60"/>
    <n v="600"/>
    <x v="0"/>
    <x v="1"/>
  </r>
  <r>
    <s v="ORD987"/>
    <s v="CUST115"/>
    <d v="2025-01-27T00:00:00"/>
    <x v="3"/>
    <s v="Dresses"/>
    <n v="7"/>
    <n v="80"/>
    <n v="560"/>
    <x v="2"/>
    <x v="0"/>
  </r>
  <r>
    <s v="ORD988"/>
    <s v="CUST192"/>
    <d v="2025-01-27T00:00:00"/>
    <x v="2"/>
    <s v="Footwear"/>
    <n v="8"/>
    <n v="90"/>
    <n v="720"/>
    <x v="3"/>
    <x v="1"/>
  </r>
  <r>
    <s v="ORD989"/>
    <s v="CUST003"/>
    <d v="2025-08-11T00:00:00"/>
    <x v="4"/>
    <s v="Tops"/>
    <n v="2"/>
    <n v="25"/>
    <n v="50"/>
    <x v="2"/>
    <x v="1"/>
  </r>
  <r>
    <s v="ORD990"/>
    <s v="CUST126"/>
    <d v="2025-05-12T00:00:00"/>
    <x v="4"/>
    <s v="Tops"/>
    <n v="9"/>
    <n v="25"/>
    <n v="225"/>
    <x v="3"/>
    <x v="1"/>
  </r>
  <r>
    <s v="ORD991"/>
    <s v="CUST027"/>
    <d v="2025-07-08T00:00:00"/>
    <x v="0"/>
    <s v="Outwear"/>
    <n v="1"/>
    <n v="120"/>
    <n v="120"/>
    <x v="0"/>
    <x v="1"/>
  </r>
  <r>
    <s v="ORD992"/>
    <s v="CUST153"/>
    <d v="2025-07-30T00:00:00"/>
    <x v="3"/>
    <s v="Dresses"/>
    <n v="10"/>
    <n v="80"/>
    <n v="800"/>
    <x v="0"/>
    <x v="0"/>
  </r>
  <r>
    <s v="ORD993"/>
    <s v="CUST186"/>
    <d v="2025-08-14T00:00:00"/>
    <x v="4"/>
    <s v="Tops"/>
    <n v="8"/>
    <n v="25"/>
    <n v="200"/>
    <x v="3"/>
    <x v="1"/>
  </r>
  <r>
    <s v="ORD994"/>
    <s v="CUST005"/>
    <d v="2025-10-25T00:00:00"/>
    <x v="1"/>
    <s v="Bottoms"/>
    <n v="6"/>
    <n v="60"/>
    <n v="360"/>
    <x v="2"/>
    <x v="1"/>
  </r>
  <r>
    <s v="ORD995"/>
    <s v="CUST198"/>
    <d v="2025-08-24T00:00:00"/>
    <x v="2"/>
    <s v="Footwear"/>
    <n v="2"/>
    <n v="90"/>
    <n v="180"/>
    <x v="0"/>
    <x v="2"/>
  </r>
  <r>
    <s v="ORD996"/>
    <s v="CUST048"/>
    <d v="2025-11-06T00:00:00"/>
    <x v="4"/>
    <s v="Tops"/>
    <n v="5"/>
    <n v="25"/>
    <n v="125"/>
    <x v="3"/>
    <x v="1"/>
  </r>
  <r>
    <s v="ORD997"/>
    <s v="CUST073"/>
    <d v="2025-03-28T00:00:00"/>
    <x v="0"/>
    <s v="Outwear"/>
    <n v="8"/>
    <n v="120"/>
    <n v="960"/>
    <x v="2"/>
    <x v="0"/>
  </r>
  <r>
    <s v="ORD998"/>
    <s v="CUST143"/>
    <d v="2025-04-15T00:00:00"/>
    <x v="3"/>
    <s v="Dresses"/>
    <n v="10"/>
    <n v="80"/>
    <n v="800"/>
    <x v="3"/>
    <x v="1"/>
  </r>
  <r>
    <s v="ORD999"/>
    <s v="CUST088"/>
    <d v="2025-10-31T00:00:00"/>
    <x v="3"/>
    <s v="Dresses"/>
    <n v="4"/>
    <n v="80"/>
    <n v="320"/>
    <x v="2"/>
    <x v="1"/>
  </r>
  <r>
    <s v="ORD1000"/>
    <s v="CUST106"/>
    <d v="2025-03-13T00:00:00"/>
    <x v="3"/>
    <s v="Dresses"/>
    <n v="9"/>
    <n v="80"/>
    <n v="720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31C2D-CB0D-4377-98F1-E01EA2B39663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3:N10" firstHeaderRow="1" firstDataRow="2" firstDataCol="1"/>
  <pivotFields count="10">
    <pivotField showAll="0"/>
    <pivotField showAll="0"/>
    <pivotField numFmtId="14"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Revenue" fld="7" baseField="0" baseItem="0"/>
  </dataFields>
  <chartFormats count="3"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D821B-74F6-41E9-A70F-6566FEC87874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3:H8" firstHeaderRow="1" firstDataRow="1" firstDataCol="1"/>
  <pivotFields count="10"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m="1" x="4"/>
        <item x="3"/>
        <item x="1"/>
        <item x="2"/>
        <item t="default"/>
      </items>
    </pivotField>
    <pivotField showAll="0"/>
  </pivotFields>
  <rowFields count="1">
    <field x="8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39D0A-28A8-43F1-B1C8-0D8F07BFEA36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E7" firstHeaderRow="1" firstDataRow="1" firstDataCol="1"/>
  <pivotFields count="10"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7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A3F7A-593D-445E-9F28-42026496AA3D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0">
    <pivotField showAll="0"/>
    <pivotField showAll="0"/>
    <pivotField numFmtId="14"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EE3E-BFC9-4BBA-BCB5-6A24E6906F33}">
  <dimension ref="A1:J1001"/>
  <sheetViews>
    <sheetView workbookViewId="0">
      <selection activeCell="K9" sqref="K9"/>
    </sheetView>
  </sheetViews>
  <sheetFormatPr defaultRowHeight="14.5" x14ac:dyDescent="0.35"/>
  <cols>
    <col min="2" max="2" width="11.1796875" bestFit="1" customWidth="1"/>
    <col min="3" max="3" width="10.453125" bestFit="1" customWidth="1"/>
    <col min="10" max="10" width="16" bestFit="1" customWidth="1"/>
    <col min="11" max="11" width="8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</row>
    <row r="2" spans="1:10" x14ac:dyDescent="0.35">
      <c r="A2" t="s">
        <v>249</v>
      </c>
      <c r="B2" t="str">
        <f ca="1">"CUST"&amp;TEXT(RANDBETWEEN(1,200),"000")</f>
        <v>CUST035</v>
      </c>
      <c r="C2" s="1">
        <f ca="1">DATE(2025,1,1)+RANDBETWEEN(0,364)</f>
        <v>45964</v>
      </c>
      <c r="D2" t="s">
        <v>1252</v>
      </c>
      <c r="E2" t="s">
        <v>1257</v>
      </c>
      <c r="F2">
        <f ca="1">RANDBETWEEN(1,10)</f>
        <v>3</v>
      </c>
      <c r="G2">
        <v>120</v>
      </c>
      <c r="H2">
        <f ca="1">F2*G2</f>
        <v>360</v>
      </c>
      <c r="I2" t="s">
        <v>214</v>
      </c>
      <c r="J2" t="str">
        <f ca="1">VLOOKUP(B2,Customer_Data!$A:$D,4,FALSE)</f>
        <v>Silver</v>
      </c>
    </row>
    <row r="3" spans="1:10" x14ac:dyDescent="0.35">
      <c r="A3" t="s">
        <v>250</v>
      </c>
      <c r="B3" t="str">
        <f t="shared" ref="B3:B66" ca="1" si="0">"CUST"&amp;TEXT(RANDBETWEEN(1,200),"000")</f>
        <v>CUST082</v>
      </c>
      <c r="C3" s="1">
        <f t="shared" ref="C3:C66" ca="1" si="1">DATE(2025,1,1)+RANDBETWEEN(0,364)</f>
        <v>45991</v>
      </c>
      <c r="D3" t="s">
        <v>1252</v>
      </c>
      <c r="E3" t="s">
        <v>1257</v>
      </c>
      <c r="F3">
        <f t="shared" ref="F3:F66" ca="1" si="2">RANDBETWEEN(1,10)</f>
        <v>5</v>
      </c>
      <c r="G3">
        <v>120</v>
      </c>
      <c r="H3">
        <f t="shared" ref="H3:H66" ca="1" si="3">F3*G3</f>
        <v>600</v>
      </c>
      <c r="I3" t="s">
        <v>212</v>
      </c>
      <c r="J3" t="str">
        <f ca="1">VLOOKUP(B3,Customer_Data!$A:$D,4,FALSE)</f>
        <v>Regular</v>
      </c>
    </row>
    <row r="4" spans="1:10" x14ac:dyDescent="0.35">
      <c r="A4" t="s">
        <v>251</v>
      </c>
      <c r="B4" t="str">
        <f t="shared" ca="1" si="0"/>
        <v>CUST191</v>
      </c>
      <c r="C4" s="1">
        <f t="shared" ca="1" si="1"/>
        <v>45848</v>
      </c>
      <c r="D4" t="s">
        <v>1250</v>
      </c>
      <c r="E4" t="s">
        <v>1255</v>
      </c>
      <c r="F4">
        <f t="shared" ca="1" si="2"/>
        <v>5</v>
      </c>
      <c r="G4">
        <v>60</v>
      </c>
      <c r="H4">
        <f t="shared" ca="1" si="3"/>
        <v>300</v>
      </c>
      <c r="I4" t="s">
        <v>213</v>
      </c>
      <c r="J4" t="str">
        <f ca="1">VLOOKUP(B4,Customer_Data!$A:$D,4,FALSE)</f>
        <v>Regular</v>
      </c>
    </row>
    <row r="5" spans="1:10" x14ac:dyDescent="0.35">
      <c r="A5" t="s">
        <v>252</v>
      </c>
      <c r="B5" t="str">
        <f t="shared" ca="1" si="0"/>
        <v>CUST155</v>
      </c>
      <c r="C5" s="1">
        <f t="shared" ca="1" si="1"/>
        <v>45936</v>
      </c>
      <c r="D5" t="s">
        <v>1253</v>
      </c>
      <c r="E5" t="s">
        <v>1258</v>
      </c>
      <c r="F5">
        <f t="shared" ca="1" si="2"/>
        <v>3</v>
      </c>
      <c r="G5">
        <v>90</v>
      </c>
      <c r="H5">
        <f t="shared" ca="1" si="3"/>
        <v>270</v>
      </c>
      <c r="I5" t="s">
        <v>213</v>
      </c>
      <c r="J5" t="str">
        <f ca="1">VLOOKUP(B5,Customer_Data!$A:$D,4,FALSE)</f>
        <v>Silver</v>
      </c>
    </row>
    <row r="6" spans="1:10" x14ac:dyDescent="0.35">
      <c r="A6" t="s">
        <v>253</v>
      </c>
      <c r="B6" t="str">
        <f t="shared" ca="1" si="0"/>
        <v>CUST010</v>
      </c>
      <c r="C6" s="1">
        <f t="shared" ca="1" si="1"/>
        <v>45676</v>
      </c>
      <c r="D6" t="s">
        <v>1250</v>
      </c>
      <c r="E6" t="s">
        <v>1255</v>
      </c>
      <c r="F6">
        <f t="shared" ca="1" si="2"/>
        <v>1</v>
      </c>
      <c r="G6">
        <v>60</v>
      </c>
      <c r="H6">
        <f t="shared" ca="1" si="3"/>
        <v>60</v>
      </c>
      <c r="I6" t="s">
        <v>214</v>
      </c>
      <c r="J6" t="str">
        <f ca="1">VLOOKUP(B6,Customer_Data!$A:$D,4,FALSE)</f>
        <v>Regular</v>
      </c>
    </row>
    <row r="7" spans="1:10" x14ac:dyDescent="0.35">
      <c r="A7" t="s">
        <v>254</v>
      </c>
      <c r="B7" t="str">
        <f t="shared" ca="1" si="0"/>
        <v>CUST068</v>
      </c>
      <c r="C7" s="1">
        <f t="shared" ca="1" si="1"/>
        <v>45879</v>
      </c>
      <c r="D7" t="s">
        <v>1251</v>
      </c>
      <c r="E7" t="s">
        <v>1256</v>
      </c>
      <c r="F7">
        <f t="shared" ca="1" si="2"/>
        <v>4</v>
      </c>
      <c r="G7">
        <v>80</v>
      </c>
      <c r="H7">
        <f t="shared" ca="1" si="3"/>
        <v>320</v>
      </c>
      <c r="I7" t="s">
        <v>214</v>
      </c>
      <c r="J7" t="str">
        <f ca="1">VLOOKUP(B7,Customer_Data!$A:$D,4,FALSE)</f>
        <v>Regular</v>
      </c>
    </row>
    <row r="8" spans="1:10" x14ac:dyDescent="0.35">
      <c r="A8" t="s">
        <v>255</v>
      </c>
      <c r="B8" t="str">
        <f t="shared" ca="1" si="0"/>
        <v>CUST064</v>
      </c>
      <c r="C8" s="1">
        <f t="shared" ca="1" si="1"/>
        <v>45765</v>
      </c>
      <c r="D8" t="s">
        <v>1251</v>
      </c>
      <c r="E8" t="s">
        <v>1256</v>
      </c>
      <c r="F8">
        <f t="shared" ca="1" si="2"/>
        <v>4</v>
      </c>
      <c r="G8">
        <v>80</v>
      </c>
      <c r="H8">
        <f t="shared" ca="1" si="3"/>
        <v>320</v>
      </c>
      <c r="I8" t="s">
        <v>212</v>
      </c>
      <c r="J8" t="str">
        <f ca="1">VLOOKUP(B8,Customer_Data!$A:$D,4,FALSE)</f>
        <v>Regular</v>
      </c>
    </row>
    <row r="9" spans="1:10" x14ac:dyDescent="0.35">
      <c r="A9" t="s">
        <v>256</v>
      </c>
      <c r="B9" t="str">
        <f t="shared" ca="1" si="0"/>
        <v>CUST076</v>
      </c>
      <c r="C9" s="1">
        <f t="shared" ca="1" si="1"/>
        <v>45937</v>
      </c>
      <c r="D9" t="s">
        <v>1252</v>
      </c>
      <c r="E9" t="s">
        <v>1257</v>
      </c>
      <c r="F9">
        <f t="shared" ca="1" si="2"/>
        <v>10</v>
      </c>
      <c r="G9">
        <v>120</v>
      </c>
      <c r="H9">
        <f t="shared" ca="1" si="3"/>
        <v>1200</v>
      </c>
      <c r="I9" t="s">
        <v>214</v>
      </c>
      <c r="J9" t="str">
        <f ca="1">VLOOKUP(B9,Customer_Data!$A:$D,4,FALSE)</f>
        <v>Silver</v>
      </c>
    </row>
    <row r="10" spans="1:10" x14ac:dyDescent="0.35">
      <c r="A10" t="s">
        <v>257</v>
      </c>
      <c r="B10" t="str">
        <f t="shared" ca="1" si="0"/>
        <v>CUST080</v>
      </c>
      <c r="C10" s="1">
        <f t="shared" ca="1" si="1"/>
        <v>45828</v>
      </c>
      <c r="D10" t="s">
        <v>1253</v>
      </c>
      <c r="E10" t="s">
        <v>1258</v>
      </c>
      <c r="F10">
        <f t="shared" ca="1" si="2"/>
        <v>3</v>
      </c>
      <c r="G10">
        <v>90</v>
      </c>
      <c r="H10">
        <f t="shared" ca="1" si="3"/>
        <v>270</v>
      </c>
      <c r="I10" t="s">
        <v>213</v>
      </c>
      <c r="J10" t="str">
        <f ca="1">VLOOKUP(B10,Customer_Data!$A:$D,4,FALSE)</f>
        <v>Gold</v>
      </c>
    </row>
    <row r="11" spans="1:10" x14ac:dyDescent="0.35">
      <c r="A11" t="s">
        <v>258</v>
      </c>
      <c r="B11" t="str">
        <f t="shared" ca="1" si="0"/>
        <v>CUST082</v>
      </c>
      <c r="C11" s="1">
        <f t="shared" ca="1" si="1"/>
        <v>45667</v>
      </c>
      <c r="D11" t="s">
        <v>1250</v>
      </c>
      <c r="E11" t="s">
        <v>1255</v>
      </c>
      <c r="F11">
        <f t="shared" ca="1" si="2"/>
        <v>10</v>
      </c>
      <c r="G11">
        <v>60</v>
      </c>
      <c r="H11">
        <f t="shared" ca="1" si="3"/>
        <v>600</v>
      </c>
      <c r="I11" t="s">
        <v>212</v>
      </c>
      <c r="J11" t="str">
        <f ca="1">VLOOKUP(B11,Customer_Data!$A:$D,4,FALSE)</f>
        <v>Regular</v>
      </c>
    </row>
    <row r="12" spans="1:10" x14ac:dyDescent="0.35">
      <c r="A12" t="s">
        <v>259</v>
      </c>
      <c r="B12" t="str">
        <f t="shared" ca="1" si="0"/>
        <v>CUST084</v>
      </c>
      <c r="C12" s="1">
        <f t="shared" ca="1" si="1"/>
        <v>45789</v>
      </c>
      <c r="D12" t="s">
        <v>1249</v>
      </c>
      <c r="E12" t="s">
        <v>1254</v>
      </c>
      <c r="F12">
        <f t="shared" ca="1" si="2"/>
        <v>3</v>
      </c>
      <c r="G12">
        <v>25</v>
      </c>
      <c r="H12">
        <f t="shared" ca="1" si="3"/>
        <v>75</v>
      </c>
      <c r="I12" t="s">
        <v>212</v>
      </c>
      <c r="J12" t="str">
        <f ca="1">VLOOKUP(B12,Customer_Data!$A:$D,4,FALSE)</f>
        <v>Regular</v>
      </c>
    </row>
    <row r="13" spans="1:10" x14ac:dyDescent="0.35">
      <c r="A13" t="s">
        <v>260</v>
      </c>
      <c r="B13" t="str">
        <f t="shared" ca="1" si="0"/>
        <v>CUST047</v>
      </c>
      <c r="C13" s="1">
        <f t="shared" ca="1" si="1"/>
        <v>45894</v>
      </c>
      <c r="D13" t="s">
        <v>1249</v>
      </c>
      <c r="E13" t="s">
        <v>1254</v>
      </c>
      <c r="F13">
        <f t="shared" ca="1" si="2"/>
        <v>1</v>
      </c>
      <c r="G13">
        <v>25</v>
      </c>
      <c r="H13">
        <f t="shared" ca="1" si="3"/>
        <v>25</v>
      </c>
      <c r="I13" t="s">
        <v>214</v>
      </c>
      <c r="J13" t="str">
        <f ca="1">VLOOKUP(B13,Customer_Data!$A:$D,4,FALSE)</f>
        <v>Regular</v>
      </c>
    </row>
    <row r="14" spans="1:10" x14ac:dyDescent="0.35">
      <c r="A14" t="s">
        <v>261</v>
      </c>
      <c r="B14" t="str">
        <f t="shared" ca="1" si="0"/>
        <v>CUST020</v>
      </c>
      <c r="C14" s="1">
        <f t="shared" ca="1" si="1"/>
        <v>45924</v>
      </c>
      <c r="D14" t="s">
        <v>1253</v>
      </c>
      <c r="E14" t="s">
        <v>1258</v>
      </c>
      <c r="F14">
        <f t="shared" ca="1" si="2"/>
        <v>10</v>
      </c>
      <c r="G14">
        <v>90</v>
      </c>
      <c r="H14">
        <f t="shared" ca="1" si="3"/>
        <v>900</v>
      </c>
      <c r="I14" t="s">
        <v>212</v>
      </c>
      <c r="J14" t="str">
        <f ca="1">VLOOKUP(B14,Customer_Data!$A:$D,4,FALSE)</f>
        <v>Gold</v>
      </c>
    </row>
    <row r="15" spans="1:10" x14ac:dyDescent="0.35">
      <c r="A15" t="s">
        <v>262</v>
      </c>
      <c r="B15" t="str">
        <f t="shared" ca="1" si="0"/>
        <v>CUST062</v>
      </c>
      <c r="C15" s="1">
        <f t="shared" ca="1" si="1"/>
        <v>45811</v>
      </c>
      <c r="D15" t="s">
        <v>1253</v>
      </c>
      <c r="E15" t="s">
        <v>1258</v>
      </c>
      <c r="F15">
        <f t="shared" ca="1" si="2"/>
        <v>7</v>
      </c>
      <c r="G15">
        <v>90</v>
      </c>
      <c r="H15">
        <f t="shared" ca="1" si="3"/>
        <v>630</v>
      </c>
      <c r="I15" t="s">
        <v>213</v>
      </c>
      <c r="J15" t="str">
        <f ca="1">VLOOKUP(B15,Customer_Data!$A:$D,4,FALSE)</f>
        <v>Regular</v>
      </c>
    </row>
    <row r="16" spans="1:10" x14ac:dyDescent="0.35">
      <c r="A16" t="s">
        <v>263</v>
      </c>
      <c r="B16" t="str">
        <f t="shared" ca="1" si="0"/>
        <v>CUST067</v>
      </c>
      <c r="C16" s="1">
        <f t="shared" ca="1" si="1"/>
        <v>45925</v>
      </c>
      <c r="D16" t="s">
        <v>1250</v>
      </c>
      <c r="E16" t="s">
        <v>1255</v>
      </c>
      <c r="F16">
        <f t="shared" ca="1" si="2"/>
        <v>10</v>
      </c>
      <c r="G16">
        <v>60</v>
      </c>
      <c r="H16">
        <f t="shared" ca="1" si="3"/>
        <v>600</v>
      </c>
      <c r="I16" t="s">
        <v>212</v>
      </c>
      <c r="J16" t="str">
        <f ca="1">VLOOKUP(B16,Customer_Data!$A:$D,4,FALSE)</f>
        <v>Regular</v>
      </c>
    </row>
    <row r="17" spans="1:10" x14ac:dyDescent="0.35">
      <c r="A17" t="s">
        <v>264</v>
      </c>
      <c r="B17" t="str">
        <f t="shared" ca="1" si="0"/>
        <v>CUST031</v>
      </c>
      <c r="C17" s="1">
        <f t="shared" ca="1" si="1"/>
        <v>45949</v>
      </c>
      <c r="D17" t="s">
        <v>1249</v>
      </c>
      <c r="E17" t="s">
        <v>1254</v>
      </c>
      <c r="F17">
        <f t="shared" ca="1" si="2"/>
        <v>5</v>
      </c>
      <c r="G17">
        <v>25</v>
      </c>
      <c r="H17">
        <f t="shared" ca="1" si="3"/>
        <v>125</v>
      </c>
      <c r="I17" t="s">
        <v>213</v>
      </c>
      <c r="J17" t="str">
        <f ca="1">VLOOKUP(B17,Customer_Data!$A:$D,4,FALSE)</f>
        <v>Regular</v>
      </c>
    </row>
    <row r="18" spans="1:10" x14ac:dyDescent="0.35">
      <c r="A18" t="s">
        <v>265</v>
      </c>
      <c r="B18" t="str">
        <f t="shared" ca="1" si="0"/>
        <v>CUST059</v>
      </c>
      <c r="C18" s="1">
        <f t="shared" ca="1" si="1"/>
        <v>45979</v>
      </c>
      <c r="D18" t="s">
        <v>1249</v>
      </c>
      <c r="E18" t="s">
        <v>1254</v>
      </c>
      <c r="F18">
        <f t="shared" ca="1" si="2"/>
        <v>7</v>
      </c>
      <c r="G18">
        <v>25</v>
      </c>
      <c r="H18">
        <f t="shared" ca="1" si="3"/>
        <v>175</v>
      </c>
      <c r="I18" t="s">
        <v>213</v>
      </c>
      <c r="J18" t="str">
        <f ca="1">VLOOKUP(B18,Customer_Data!$A:$D,4,FALSE)</f>
        <v>Gold</v>
      </c>
    </row>
    <row r="19" spans="1:10" x14ac:dyDescent="0.35">
      <c r="A19" t="s">
        <v>266</v>
      </c>
      <c r="B19" t="str">
        <f t="shared" ca="1" si="0"/>
        <v>CUST051</v>
      </c>
      <c r="C19" s="1">
        <f t="shared" ca="1" si="1"/>
        <v>45849</v>
      </c>
      <c r="D19" t="s">
        <v>1251</v>
      </c>
      <c r="E19" t="s">
        <v>1256</v>
      </c>
      <c r="F19">
        <f t="shared" ca="1" si="2"/>
        <v>10</v>
      </c>
      <c r="G19">
        <v>80</v>
      </c>
      <c r="H19">
        <f t="shared" ca="1" si="3"/>
        <v>800</v>
      </c>
      <c r="I19" t="s">
        <v>213</v>
      </c>
      <c r="J19" t="str">
        <f ca="1">VLOOKUP(B19,Customer_Data!$A:$D,4,FALSE)</f>
        <v>Regular</v>
      </c>
    </row>
    <row r="20" spans="1:10" x14ac:dyDescent="0.35">
      <c r="A20" t="s">
        <v>267</v>
      </c>
      <c r="B20" t="str">
        <f t="shared" ca="1" si="0"/>
        <v>CUST035</v>
      </c>
      <c r="C20" s="1">
        <f t="shared" ca="1" si="1"/>
        <v>45661</v>
      </c>
      <c r="D20" t="s">
        <v>1252</v>
      </c>
      <c r="E20" t="s">
        <v>1257</v>
      </c>
      <c r="F20">
        <f t="shared" ca="1" si="2"/>
        <v>1</v>
      </c>
      <c r="G20">
        <v>120</v>
      </c>
      <c r="H20">
        <f t="shared" ca="1" si="3"/>
        <v>120</v>
      </c>
      <c r="I20" t="s">
        <v>213</v>
      </c>
      <c r="J20" t="str">
        <f ca="1">VLOOKUP(B20,Customer_Data!$A:$D,4,FALSE)</f>
        <v>Silver</v>
      </c>
    </row>
    <row r="21" spans="1:10" x14ac:dyDescent="0.35">
      <c r="A21" t="s">
        <v>268</v>
      </c>
      <c r="B21" t="str">
        <f t="shared" ca="1" si="0"/>
        <v>CUST140</v>
      </c>
      <c r="C21" s="1">
        <f t="shared" ca="1" si="1"/>
        <v>45930</v>
      </c>
      <c r="D21" t="s">
        <v>1252</v>
      </c>
      <c r="E21" t="s">
        <v>1257</v>
      </c>
      <c r="F21">
        <f t="shared" ca="1" si="2"/>
        <v>6</v>
      </c>
      <c r="G21">
        <v>120</v>
      </c>
      <c r="H21">
        <f t="shared" ca="1" si="3"/>
        <v>720</v>
      </c>
      <c r="I21" t="s">
        <v>214</v>
      </c>
      <c r="J21" t="str">
        <f ca="1">VLOOKUP(B21,Customer_Data!$A:$D,4,FALSE)</f>
        <v>Gold</v>
      </c>
    </row>
    <row r="22" spans="1:10" x14ac:dyDescent="0.35">
      <c r="A22" t="s">
        <v>269</v>
      </c>
      <c r="B22" t="str">
        <f t="shared" ca="1" si="0"/>
        <v>CUST105</v>
      </c>
      <c r="C22" s="1">
        <f t="shared" ca="1" si="1"/>
        <v>45878</v>
      </c>
      <c r="D22" t="s">
        <v>1249</v>
      </c>
      <c r="E22" t="s">
        <v>1254</v>
      </c>
      <c r="F22">
        <f t="shared" ca="1" si="2"/>
        <v>2</v>
      </c>
      <c r="G22">
        <v>25</v>
      </c>
      <c r="H22">
        <f t="shared" ca="1" si="3"/>
        <v>50</v>
      </c>
      <c r="I22" t="s">
        <v>213</v>
      </c>
      <c r="J22" t="str">
        <f ca="1">VLOOKUP(B22,Customer_Data!$A:$D,4,FALSE)</f>
        <v>Regular</v>
      </c>
    </row>
    <row r="23" spans="1:10" x14ac:dyDescent="0.35">
      <c r="A23" t="s">
        <v>270</v>
      </c>
      <c r="B23" t="str">
        <f t="shared" ca="1" si="0"/>
        <v>CUST121</v>
      </c>
      <c r="C23" s="1">
        <f t="shared" ca="1" si="1"/>
        <v>45814</v>
      </c>
      <c r="D23" t="s">
        <v>1250</v>
      </c>
      <c r="E23" t="s">
        <v>1255</v>
      </c>
      <c r="F23">
        <f t="shared" ca="1" si="2"/>
        <v>10</v>
      </c>
      <c r="G23">
        <v>60</v>
      </c>
      <c r="H23">
        <f t="shared" ca="1" si="3"/>
        <v>600</v>
      </c>
      <c r="I23" t="s">
        <v>214</v>
      </c>
      <c r="J23" t="str">
        <f ca="1">VLOOKUP(B23,Customer_Data!$A:$D,4,FALSE)</f>
        <v>Regular</v>
      </c>
    </row>
    <row r="24" spans="1:10" x14ac:dyDescent="0.35">
      <c r="A24" t="s">
        <v>271</v>
      </c>
      <c r="B24" t="str">
        <f t="shared" ca="1" si="0"/>
        <v>CUST067</v>
      </c>
      <c r="C24" s="1">
        <f t="shared" ca="1" si="1"/>
        <v>45785</v>
      </c>
      <c r="D24" t="s">
        <v>1253</v>
      </c>
      <c r="E24" t="s">
        <v>1258</v>
      </c>
      <c r="F24">
        <f t="shared" ca="1" si="2"/>
        <v>6</v>
      </c>
      <c r="G24">
        <v>90</v>
      </c>
      <c r="H24">
        <f t="shared" ca="1" si="3"/>
        <v>540</v>
      </c>
      <c r="I24" t="s">
        <v>214</v>
      </c>
      <c r="J24" t="str">
        <f ca="1">VLOOKUP(B24,Customer_Data!$A:$D,4,FALSE)</f>
        <v>Regular</v>
      </c>
    </row>
    <row r="25" spans="1:10" x14ac:dyDescent="0.35">
      <c r="A25" t="s">
        <v>272</v>
      </c>
      <c r="B25" t="str">
        <f t="shared" ca="1" si="0"/>
        <v>CUST113</v>
      </c>
      <c r="C25" s="1">
        <f t="shared" ca="1" si="1"/>
        <v>45775</v>
      </c>
      <c r="D25" t="s">
        <v>1253</v>
      </c>
      <c r="E25" t="s">
        <v>1258</v>
      </c>
      <c r="F25">
        <f t="shared" ca="1" si="2"/>
        <v>9</v>
      </c>
      <c r="G25">
        <v>90</v>
      </c>
      <c r="H25">
        <f t="shared" ca="1" si="3"/>
        <v>810</v>
      </c>
      <c r="I25" t="s">
        <v>214</v>
      </c>
      <c r="J25" t="str">
        <f ca="1">VLOOKUP(B25,Customer_Data!$A:$D,4,FALSE)</f>
        <v>Silver</v>
      </c>
    </row>
    <row r="26" spans="1:10" x14ac:dyDescent="0.35">
      <c r="A26" t="s">
        <v>273</v>
      </c>
      <c r="B26" t="str">
        <f t="shared" ca="1" si="0"/>
        <v>CUST078</v>
      </c>
      <c r="C26" s="1">
        <f t="shared" ca="1" si="1"/>
        <v>45858</v>
      </c>
      <c r="D26" t="s">
        <v>1249</v>
      </c>
      <c r="E26" t="s">
        <v>1254</v>
      </c>
      <c r="F26">
        <f t="shared" ca="1" si="2"/>
        <v>9</v>
      </c>
      <c r="G26">
        <v>25</v>
      </c>
      <c r="H26">
        <f t="shared" ca="1" si="3"/>
        <v>225</v>
      </c>
      <c r="I26" t="s">
        <v>213</v>
      </c>
      <c r="J26" t="str">
        <f ca="1">VLOOKUP(B26,Customer_Data!$A:$D,4,FALSE)</f>
        <v>Gold</v>
      </c>
    </row>
    <row r="27" spans="1:10" x14ac:dyDescent="0.35">
      <c r="A27" t="s">
        <v>274</v>
      </c>
      <c r="B27" t="str">
        <f t="shared" ca="1" si="0"/>
        <v>CUST048</v>
      </c>
      <c r="C27" s="1">
        <f t="shared" ca="1" si="1"/>
        <v>45669</v>
      </c>
      <c r="D27" t="s">
        <v>1251</v>
      </c>
      <c r="E27" t="s">
        <v>1256</v>
      </c>
      <c r="F27">
        <f t="shared" ca="1" si="2"/>
        <v>3</v>
      </c>
      <c r="G27">
        <v>80</v>
      </c>
      <c r="H27">
        <f t="shared" ca="1" si="3"/>
        <v>240</v>
      </c>
      <c r="I27" t="s">
        <v>211</v>
      </c>
      <c r="J27" t="str">
        <f ca="1">VLOOKUP(B27,Customer_Data!$A:$D,4,FALSE)</f>
        <v>Regular</v>
      </c>
    </row>
    <row r="28" spans="1:10" x14ac:dyDescent="0.35">
      <c r="A28" t="s">
        <v>275</v>
      </c>
      <c r="B28" t="str">
        <f t="shared" ca="1" si="0"/>
        <v>CUST129</v>
      </c>
      <c r="C28" s="1">
        <f t="shared" ca="1" si="1"/>
        <v>45903</v>
      </c>
      <c r="D28" t="s">
        <v>1249</v>
      </c>
      <c r="E28" t="s">
        <v>1254</v>
      </c>
      <c r="F28">
        <f t="shared" ca="1" si="2"/>
        <v>4</v>
      </c>
      <c r="G28">
        <v>25</v>
      </c>
      <c r="H28">
        <f t="shared" ca="1" si="3"/>
        <v>100</v>
      </c>
      <c r="I28" t="s">
        <v>213</v>
      </c>
      <c r="J28" t="str">
        <f ca="1">VLOOKUP(B28,Customer_Data!$A:$D,4,FALSE)</f>
        <v>Regular</v>
      </c>
    </row>
    <row r="29" spans="1:10" x14ac:dyDescent="0.35">
      <c r="A29" t="s">
        <v>276</v>
      </c>
      <c r="B29" t="str">
        <f t="shared" ca="1" si="0"/>
        <v>CUST171</v>
      </c>
      <c r="C29" s="1">
        <f t="shared" ca="1" si="1"/>
        <v>45955</v>
      </c>
      <c r="D29" t="s">
        <v>1250</v>
      </c>
      <c r="E29" t="s">
        <v>1255</v>
      </c>
      <c r="F29">
        <f t="shared" ca="1" si="2"/>
        <v>8</v>
      </c>
      <c r="G29">
        <v>60</v>
      </c>
      <c r="H29">
        <f t="shared" ca="1" si="3"/>
        <v>480</v>
      </c>
      <c r="I29" t="s">
        <v>213</v>
      </c>
      <c r="J29" t="str">
        <f ca="1">VLOOKUP(B29,Customer_Data!$A:$D,4,FALSE)</f>
        <v>Regular</v>
      </c>
    </row>
    <row r="30" spans="1:10" x14ac:dyDescent="0.35">
      <c r="A30" t="s">
        <v>277</v>
      </c>
      <c r="B30" t="str">
        <f t="shared" ca="1" si="0"/>
        <v>CUST080</v>
      </c>
      <c r="C30" s="1">
        <f t="shared" ca="1" si="1"/>
        <v>45701</v>
      </c>
      <c r="D30" t="s">
        <v>1251</v>
      </c>
      <c r="E30" t="s">
        <v>1256</v>
      </c>
      <c r="F30">
        <f t="shared" ca="1" si="2"/>
        <v>1</v>
      </c>
      <c r="G30">
        <v>80</v>
      </c>
      <c r="H30">
        <f t="shared" ca="1" si="3"/>
        <v>80</v>
      </c>
      <c r="I30" t="s">
        <v>211</v>
      </c>
      <c r="J30" t="str">
        <f ca="1">VLOOKUP(B30,Customer_Data!$A:$D,4,FALSE)</f>
        <v>Gold</v>
      </c>
    </row>
    <row r="31" spans="1:10" x14ac:dyDescent="0.35">
      <c r="A31" t="s">
        <v>278</v>
      </c>
      <c r="B31" t="str">
        <f t="shared" ca="1" si="0"/>
        <v>CUST060</v>
      </c>
      <c r="C31" s="1">
        <f t="shared" ca="1" si="1"/>
        <v>45962</v>
      </c>
      <c r="D31" t="s">
        <v>1251</v>
      </c>
      <c r="E31" t="s">
        <v>1256</v>
      </c>
      <c r="F31">
        <f t="shared" ca="1" si="2"/>
        <v>6</v>
      </c>
      <c r="G31">
        <v>80</v>
      </c>
      <c r="H31">
        <f t="shared" ca="1" si="3"/>
        <v>480</v>
      </c>
      <c r="I31" t="s">
        <v>211</v>
      </c>
      <c r="J31" t="str">
        <f ca="1">VLOOKUP(B31,Customer_Data!$A:$D,4,FALSE)</f>
        <v>Gold</v>
      </c>
    </row>
    <row r="32" spans="1:10" x14ac:dyDescent="0.35">
      <c r="A32" t="s">
        <v>279</v>
      </c>
      <c r="B32" t="str">
        <f t="shared" ca="1" si="0"/>
        <v>CUST095</v>
      </c>
      <c r="C32" s="1">
        <f t="shared" ca="1" si="1"/>
        <v>45990</v>
      </c>
      <c r="D32" t="s">
        <v>1253</v>
      </c>
      <c r="E32" t="s">
        <v>1258</v>
      </c>
      <c r="F32">
        <f t="shared" ca="1" si="2"/>
        <v>3</v>
      </c>
      <c r="G32">
        <v>90</v>
      </c>
      <c r="H32">
        <f t="shared" ca="1" si="3"/>
        <v>270</v>
      </c>
      <c r="I32" t="s">
        <v>214</v>
      </c>
      <c r="J32" t="str">
        <f ca="1">VLOOKUP(B32,Customer_Data!$A:$D,4,FALSE)</f>
        <v>Silver</v>
      </c>
    </row>
    <row r="33" spans="1:10" x14ac:dyDescent="0.35">
      <c r="A33" t="s">
        <v>280</v>
      </c>
      <c r="B33" t="str">
        <f t="shared" ca="1" si="0"/>
        <v>CUST165</v>
      </c>
      <c r="C33" s="1">
        <f t="shared" ca="1" si="1"/>
        <v>45771</v>
      </c>
      <c r="D33" t="s">
        <v>1252</v>
      </c>
      <c r="E33" t="s">
        <v>1257</v>
      </c>
      <c r="F33">
        <f t="shared" ca="1" si="2"/>
        <v>10</v>
      </c>
      <c r="G33">
        <v>120</v>
      </c>
      <c r="H33">
        <f t="shared" ca="1" si="3"/>
        <v>1200</v>
      </c>
      <c r="I33" t="s">
        <v>213</v>
      </c>
      <c r="J33" t="str">
        <f ca="1">VLOOKUP(B33,Customer_Data!$A:$D,4,FALSE)</f>
        <v>Regular</v>
      </c>
    </row>
    <row r="34" spans="1:10" x14ac:dyDescent="0.35">
      <c r="A34" t="s">
        <v>281</v>
      </c>
      <c r="B34" t="str">
        <f t="shared" ca="1" si="0"/>
        <v>CUST173</v>
      </c>
      <c r="C34" s="1">
        <f t="shared" ca="1" si="1"/>
        <v>45982</v>
      </c>
      <c r="D34" t="s">
        <v>1249</v>
      </c>
      <c r="E34" t="s">
        <v>1254</v>
      </c>
      <c r="F34">
        <f t="shared" ca="1" si="2"/>
        <v>8</v>
      </c>
      <c r="G34">
        <v>25</v>
      </c>
      <c r="H34">
        <f t="shared" ca="1" si="3"/>
        <v>200</v>
      </c>
      <c r="I34" t="s">
        <v>213</v>
      </c>
      <c r="J34" t="str">
        <f ca="1">VLOOKUP(B34,Customer_Data!$A:$D,4,FALSE)</f>
        <v>Silver</v>
      </c>
    </row>
    <row r="35" spans="1:10" x14ac:dyDescent="0.35">
      <c r="A35" t="s">
        <v>282</v>
      </c>
      <c r="B35" t="str">
        <f t="shared" ca="1" si="0"/>
        <v>CUST030</v>
      </c>
      <c r="C35" s="1">
        <f t="shared" ca="1" si="1"/>
        <v>46022</v>
      </c>
      <c r="D35" t="s">
        <v>1251</v>
      </c>
      <c r="E35" t="s">
        <v>1256</v>
      </c>
      <c r="F35">
        <f t="shared" ca="1" si="2"/>
        <v>6</v>
      </c>
      <c r="G35">
        <v>80</v>
      </c>
      <c r="H35">
        <f t="shared" ca="1" si="3"/>
        <v>480</v>
      </c>
      <c r="I35" t="s">
        <v>213</v>
      </c>
      <c r="J35" t="str">
        <f ca="1">VLOOKUP(B35,Customer_Data!$A:$D,4,FALSE)</f>
        <v>Regular</v>
      </c>
    </row>
    <row r="36" spans="1:10" x14ac:dyDescent="0.35">
      <c r="A36" t="s">
        <v>283</v>
      </c>
      <c r="B36" t="str">
        <f t="shared" ca="1" si="0"/>
        <v>CUST191</v>
      </c>
      <c r="C36" s="1">
        <f t="shared" ca="1" si="1"/>
        <v>45821</v>
      </c>
      <c r="D36" t="s">
        <v>1252</v>
      </c>
      <c r="E36" t="s">
        <v>1257</v>
      </c>
      <c r="F36">
        <f t="shared" ca="1" si="2"/>
        <v>7</v>
      </c>
      <c r="G36">
        <v>120</v>
      </c>
      <c r="H36">
        <f t="shared" ca="1" si="3"/>
        <v>840</v>
      </c>
      <c r="I36" t="s">
        <v>211</v>
      </c>
      <c r="J36" t="str">
        <f ca="1">VLOOKUP(B36,Customer_Data!$A:$D,4,FALSE)</f>
        <v>Regular</v>
      </c>
    </row>
    <row r="37" spans="1:10" x14ac:dyDescent="0.35">
      <c r="A37" t="s">
        <v>284</v>
      </c>
      <c r="B37" t="str">
        <f t="shared" ca="1" si="0"/>
        <v>CUST150</v>
      </c>
      <c r="C37" s="1">
        <f t="shared" ca="1" si="1"/>
        <v>45780</v>
      </c>
      <c r="D37" t="s">
        <v>1250</v>
      </c>
      <c r="E37" t="s">
        <v>1255</v>
      </c>
      <c r="F37">
        <f t="shared" ca="1" si="2"/>
        <v>1</v>
      </c>
      <c r="G37">
        <v>60</v>
      </c>
      <c r="H37">
        <f t="shared" ca="1" si="3"/>
        <v>60</v>
      </c>
      <c r="I37" t="s">
        <v>211</v>
      </c>
      <c r="J37" t="str">
        <f ca="1">VLOOKUP(B37,Customer_Data!$A:$D,4,FALSE)</f>
        <v>Regular</v>
      </c>
    </row>
    <row r="38" spans="1:10" x14ac:dyDescent="0.35">
      <c r="A38" t="s">
        <v>285</v>
      </c>
      <c r="B38" t="str">
        <f t="shared" ca="1" si="0"/>
        <v>CUST185</v>
      </c>
      <c r="C38" s="1">
        <f t="shared" ca="1" si="1"/>
        <v>45850</v>
      </c>
      <c r="D38" t="s">
        <v>1251</v>
      </c>
      <c r="E38" t="s">
        <v>1256</v>
      </c>
      <c r="F38">
        <f t="shared" ca="1" si="2"/>
        <v>5</v>
      </c>
      <c r="G38">
        <v>80</v>
      </c>
      <c r="H38">
        <f t="shared" ca="1" si="3"/>
        <v>400</v>
      </c>
      <c r="I38" t="s">
        <v>212</v>
      </c>
      <c r="J38" t="str">
        <f ca="1">VLOOKUP(B38,Customer_Data!$A:$D,4,FALSE)</f>
        <v>Regular</v>
      </c>
    </row>
    <row r="39" spans="1:10" x14ac:dyDescent="0.35">
      <c r="A39" t="s">
        <v>286</v>
      </c>
      <c r="B39" t="str">
        <f t="shared" ca="1" si="0"/>
        <v>CUST178</v>
      </c>
      <c r="C39" s="1">
        <f t="shared" ca="1" si="1"/>
        <v>45796</v>
      </c>
      <c r="D39" t="s">
        <v>1251</v>
      </c>
      <c r="E39" t="s">
        <v>1256</v>
      </c>
      <c r="F39">
        <f t="shared" ca="1" si="2"/>
        <v>5</v>
      </c>
      <c r="G39">
        <v>80</v>
      </c>
      <c r="H39">
        <f t="shared" ca="1" si="3"/>
        <v>400</v>
      </c>
      <c r="I39" t="s">
        <v>211</v>
      </c>
      <c r="J39" t="str">
        <f ca="1">VLOOKUP(B39,Customer_Data!$A:$D,4,FALSE)</f>
        <v>Gold</v>
      </c>
    </row>
    <row r="40" spans="1:10" x14ac:dyDescent="0.35">
      <c r="A40" t="s">
        <v>287</v>
      </c>
      <c r="B40" t="str">
        <f t="shared" ca="1" si="0"/>
        <v>CUST140</v>
      </c>
      <c r="C40" s="1">
        <f t="shared" ca="1" si="1"/>
        <v>45996</v>
      </c>
      <c r="D40" t="s">
        <v>1250</v>
      </c>
      <c r="E40" t="s">
        <v>1255</v>
      </c>
      <c r="F40">
        <f t="shared" ca="1" si="2"/>
        <v>1</v>
      </c>
      <c r="G40">
        <v>60</v>
      </c>
      <c r="H40">
        <f t="shared" ca="1" si="3"/>
        <v>60</v>
      </c>
      <c r="I40" t="s">
        <v>213</v>
      </c>
      <c r="J40" t="str">
        <f ca="1">VLOOKUP(B40,Customer_Data!$A:$D,4,FALSE)</f>
        <v>Gold</v>
      </c>
    </row>
    <row r="41" spans="1:10" x14ac:dyDescent="0.35">
      <c r="A41" t="s">
        <v>288</v>
      </c>
      <c r="B41" t="str">
        <f t="shared" ca="1" si="0"/>
        <v>CUST075</v>
      </c>
      <c r="C41" s="1">
        <f t="shared" ca="1" si="1"/>
        <v>45761</v>
      </c>
      <c r="D41" t="s">
        <v>1253</v>
      </c>
      <c r="E41" t="s">
        <v>1258</v>
      </c>
      <c r="F41">
        <f t="shared" ca="1" si="2"/>
        <v>7</v>
      </c>
      <c r="G41">
        <v>90</v>
      </c>
      <c r="H41">
        <f t="shared" ca="1" si="3"/>
        <v>630</v>
      </c>
      <c r="I41" t="s">
        <v>212</v>
      </c>
      <c r="J41" t="str">
        <f ca="1">VLOOKUP(B41,Customer_Data!$A:$D,4,FALSE)</f>
        <v>Silver</v>
      </c>
    </row>
    <row r="42" spans="1:10" x14ac:dyDescent="0.35">
      <c r="A42" t="s">
        <v>289</v>
      </c>
      <c r="B42" t="str">
        <f t="shared" ca="1" si="0"/>
        <v>CUST188</v>
      </c>
      <c r="C42" s="1">
        <f t="shared" ca="1" si="1"/>
        <v>45815</v>
      </c>
      <c r="D42" t="s">
        <v>1250</v>
      </c>
      <c r="E42" t="s">
        <v>1255</v>
      </c>
      <c r="F42">
        <f t="shared" ca="1" si="2"/>
        <v>1</v>
      </c>
      <c r="G42">
        <v>60</v>
      </c>
      <c r="H42">
        <f t="shared" ca="1" si="3"/>
        <v>60</v>
      </c>
      <c r="I42" t="s">
        <v>212</v>
      </c>
      <c r="J42" t="str">
        <f ca="1">VLOOKUP(B42,Customer_Data!$A:$D,4,FALSE)</f>
        <v>Regular</v>
      </c>
    </row>
    <row r="43" spans="1:10" x14ac:dyDescent="0.35">
      <c r="A43" t="s">
        <v>290</v>
      </c>
      <c r="B43" t="str">
        <f t="shared" ca="1" si="0"/>
        <v>CUST090</v>
      </c>
      <c r="C43" s="1">
        <f t="shared" ca="1" si="1"/>
        <v>45673</v>
      </c>
      <c r="D43" t="s">
        <v>1252</v>
      </c>
      <c r="E43" t="s">
        <v>1257</v>
      </c>
      <c r="F43">
        <f t="shared" ca="1" si="2"/>
        <v>10</v>
      </c>
      <c r="G43">
        <v>120</v>
      </c>
      <c r="H43">
        <f t="shared" ca="1" si="3"/>
        <v>1200</v>
      </c>
      <c r="I43" t="s">
        <v>212</v>
      </c>
      <c r="J43" t="str">
        <f ca="1">VLOOKUP(B43,Customer_Data!$A:$D,4,FALSE)</f>
        <v>Regular</v>
      </c>
    </row>
    <row r="44" spans="1:10" x14ac:dyDescent="0.35">
      <c r="A44" t="s">
        <v>291</v>
      </c>
      <c r="B44" t="str">
        <f t="shared" ca="1" si="0"/>
        <v>CUST109</v>
      </c>
      <c r="C44" s="1">
        <f t="shared" ca="1" si="1"/>
        <v>46009</v>
      </c>
      <c r="D44" t="s">
        <v>1249</v>
      </c>
      <c r="E44" t="s">
        <v>1254</v>
      </c>
      <c r="F44">
        <f t="shared" ca="1" si="2"/>
        <v>6</v>
      </c>
      <c r="G44">
        <v>25</v>
      </c>
      <c r="H44">
        <f t="shared" ca="1" si="3"/>
        <v>150</v>
      </c>
      <c r="I44" t="s">
        <v>214</v>
      </c>
      <c r="J44" t="str">
        <f ca="1">VLOOKUP(B44,Customer_Data!$A:$D,4,FALSE)</f>
        <v>Regular</v>
      </c>
    </row>
    <row r="45" spans="1:10" x14ac:dyDescent="0.35">
      <c r="A45" t="s">
        <v>292</v>
      </c>
      <c r="B45" t="str">
        <f t="shared" ca="1" si="0"/>
        <v>CUST125</v>
      </c>
      <c r="C45" s="1">
        <f t="shared" ca="1" si="1"/>
        <v>45786</v>
      </c>
      <c r="D45" t="s">
        <v>1253</v>
      </c>
      <c r="E45" t="s">
        <v>1258</v>
      </c>
      <c r="F45">
        <f t="shared" ca="1" si="2"/>
        <v>6</v>
      </c>
      <c r="G45">
        <v>90</v>
      </c>
      <c r="H45">
        <f t="shared" ca="1" si="3"/>
        <v>540</v>
      </c>
      <c r="I45" t="s">
        <v>211</v>
      </c>
      <c r="J45" t="str">
        <f ca="1">VLOOKUP(B45,Customer_Data!$A:$D,4,FALSE)</f>
        <v>Regular</v>
      </c>
    </row>
    <row r="46" spans="1:10" x14ac:dyDescent="0.35">
      <c r="A46" t="s">
        <v>293</v>
      </c>
      <c r="B46" t="str">
        <f t="shared" ca="1" si="0"/>
        <v>CUST158</v>
      </c>
      <c r="C46" s="1">
        <f t="shared" ca="1" si="1"/>
        <v>45908</v>
      </c>
      <c r="D46" t="s">
        <v>1252</v>
      </c>
      <c r="E46" t="s">
        <v>1257</v>
      </c>
      <c r="F46">
        <f t="shared" ca="1" si="2"/>
        <v>7</v>
      </c>
      <c r="G46">
        <v>120</v>
      </c>
      <c r="H46">
        <f t="shared" ca="1" si="3"/>
        <v>840</v>
      </c>
      <c r="I46" t="s">
        <v>213</v>
      </c>
      <c r="J46" t="str">
        <f ca="1">VLOOKUP(B46,Customer_Data!$A:$D,4,FALSE)</f>
        <v>Gold</v>
      </c>
    </row>
    <row r="47" spans="1:10" x14ac:dyDescent="0.35">
      <c r="A47" t="s">
        <v>294</v>
      </c>
      <c r="B47" t="str">
        <f t="shared" ca="1" si="0"/>
        <v>CUST061</v>
      </c>
      <c r="C47" s="1">
        <f t="shared" ca="1" si="1"/>
        <v>45890</v>
      </c>
      <c r="D47" t="s">
        <v>1251</v>
      </c>
      <c r="E47" t="s">
        <v>1256</v>
      </c>
      <c r="F47">
        <f t="shared" ca="1" si="2"/>
        <v>3</v>
      </c>
      <c r="G47">
        <v>80</v>
      </c>
      <c r="H47">
        <f t="shared" ca="1" si="3"/>
        <v>240</v>
      </c>
      <c r="I47" t="s">
        <v>213</v>
      </c>
      <c r="J47" t="str">
        <f ca="1">VLOOKUP(B47,Customer_Data!$A:$D,4,FALSE)</f>
        <v>Regular</v>
      </c>
    </row>
    <row r="48" spans="1:10" x14ac:dyDescent="0.35">
      <c r="A48" t="s">
        <v>295</v>
      </c>
      <c r="B48" t="str">
        <f t="shared" ca="1" si="0"/>
        <v>CUST140</v>
      </c>
      <c r="C48" s="1">
        <f t="shared" ca="1" si="1"/>
        <v>45986</v>
      </c>
      <c r="D48" t="s">
        <v>1253</v>
      </c>
      <c r="E48" t="s">
        <v>1258</v>
      </c>
      <c r="F48">
        <f t="shared" ca="1" si="2"/>
        <v>5</v>
      </c>
      <c r="G48">
        <v>90</v>
      </c>
      <c r="H48">
        <f t="shared" ca="1" si="3"/>
        <v>450</v>
      </c>
      <c r="I48" t="s">
        <v>214</v>
      </c>
      <c r="J48" t="str">
        <f ca="1">VLOOKUP(B48,Customer_Data!$A:$D,4,FALSE)</f>
        <v>Gold</v>
      </c>
    </row>
    <row r="49" spans="1:10" x14ac:dyDescent="0.35">
      <c r="A49" t="s">
        <v>296</v>
      </c>
      <c r="B49" t="str">
        <f t="shared" ca="1" si="0"/>
        <v>CUST194</v>
      </c>
      <c r="C49" s="1">
        <f t="shared" ca="1" si="1"/>
        <v>45732</v>
      </c>
      <c r="D49" t="s">
        <v>1250</v>
      </c>
      <c r="E49" t="s">
        <v>1255</v>
      </c>
      <c r="F49">
        <f t="shared" ca="1" si="2"/>
        <v>8</v>
      </c>
      <c r="G49">
        <v>60</v>
      </c>
      <c r="H49">
        <f t="shared" ca="1" si="3"/>
        <v>480</v>
      </c>
      <c r="I49" t="s">
        <v>213</v>
      </c>
      <c r="J49" t="str">
        <f ca="1">VLOOKUP(B49,Customer_Data!$A:$D,4,FALSE)</f>
        <v>Silver</v>
      </c>
    </row>
    <row r="50" spans="1:10" x14ac:dyDescent="0.35">
      <c r="A50" t="s">
        <v>297</v>
      </c>
      <c r="B50" t="str">
        <f t="shared" ca="1" si="0"/>
        <v>CUST176</v>
      </c>
      <c r="C50" s="1">
        <f t="shared" ca="1" si="1"/>
        <v>45717</v>
      </c>
      <c r="D50" t="s">
        <v>1253</v>
      </c>
      <c r="E50" t="s">
        <v>1258</v>
      </c>
      <c r="F50">
        <f t="shared" ca="1" si="2"/>
        <v>2</v>
      </c>
      <c r="G50">
        <v>90</v>
      </c>
      <c r="H50">
        <f t="shared" ca="1" si="3"/>
        <v>180</v>
      </c>
      <c r="I50" t="s">
        <v>213</v>
      </c>
      <c r="J50" t="str">
        <f ca="1">VLOOKUP(B50,Customer_Data!$A:$D,4,FALSE)</f>
        <v>Silver</v>
      </c>
    </row>
    <row r="51" spans="1:10" x14ac:dyDescent="0.35">
      <c r="A51" t="s">
        <v>298</v>
      </c>
      <c r="B51" t="str">
        <f t="shared" ca="1" si="0"/>
        <v>CUST096</v>
      </c>
      <c r="C51" s="1">
        <f t="shared" ca="1" si="1"/>
        <v>45871</v>
      </c>
      <c r="D51" t="s">
        <v>1252</v>
      </c>
      <c r="E51" t="s">
        <v>1257</v>
      </c>
      <c r="F51">
        <f t="shared" ca="1" si="2"/>
        <v>9</v>
      </c>
      <c r="G51">
        <v>120</v>
      </c>
      <c r="H51">
        <f t="shared" ca="1" si="3"/>
        <v>1080</v>
      </c>
      <c r="I51" t="s">
        <v>213</v>
      </c>
      <c r="J51" t="str">
        <f ca="1">VLOOKUP(B51,Customer_Data!$A:$D,4,FALSE)</f>
        <v>Silver</v>
      </c>
    </row>
    <row r="52" spans="1:10" x14ac:dyDescent="0.35">
      <c r="A52" t="s">
        <v>299</v>
      </c>
      <c r="B52" t="str">
        <f t="shared" ca="1" si="0"/>
        <v>CUST005</v>
      </c>
      <c r="C52" s="1">
        <f t="shared" ca="1" si="1"/>
        <v>46013</v>
      </c>
      <c r="D52" t="s">
        <v>1249</v>
      </c>
      <c r="E52" t="s">
        <v>1254</v>
      </c>
      <c r="F52">
        <f t="shared" ca="1" si="2"/>
        <v>4</v>
      </c>
      <c r="G52">
        <v>25</v>
      </c>
      <c r="H52">
        <f t="shared" ca="1" si="3"/>
        <v>100</v>
      </c>
      <c r="I52" t="s">
        <v>213</v>
      </c>
      <c r="J52" t="str">
        <f ca="1">VLOOKUP(B52,Customer_Data!$A:$D,4,FALSE)</f>
        <v>Regular</v>
      </c>
    </row>
    <row r="53" spans="1:10" x14ac:dyDescent="0.35">
      <c r="A53" t="s">
        <v>300</v>
      </c>
      <c r="B53" t="str">
        <f t="shared" ca="1" si="0"/>
        <v>CUST027</v>
      </c>
      <c r="C53" s="1">
        <f t="shared" ca="1" si="1"/>
        <v>45955</v>
      </c>
      <c r="D53" t="s">
        <v>1250</v>
      </c>
      <c r="E53" t="s">
        <v>1255</v>
      </c>
      <c r="F53">
        <f t="shared" ca="1" si="2"/>
        <v>4</v>
      </c>
      <c r="G53">
        <v>60</v>
      </c>
      <c r="H53">
        <f t="shared" ca="1" si="3"/>
        <v>240</v>
      </c>
      <c r="I53" t="s">
        <v>214</v>
      </c>
      <c r="J53" t="str">
        <f ca="1">VLOOKUP(B53,Customer_Data!$A:$D,4,FALSE)</f>
        <v>Regular</v>
      </c>
    </row>
    <row r="54" spans="1:10" x14ac:dyDescent="0.35">
      <c r="A54" t="s">
        <v>301</v>
      </c>
      <c r="B54" t="str">
        <f t="shared" ca="1" si="0"/>
        <v>CUST110</v>
      </c>
      <c r="C54" s="1">
        <f t="shared" ca="1" si="1"/>
        <v>45747</v>
      </c>
      <c r="D54" t="s">
        <v>1253</v>
      </c>
      <c r="E54" t="s">
        <v>1258</v>
      </c>
      <c r="F54">
        <f t="shared" ca="1" si="2"/>
        <v>3</v>
      </c>
      <c r="G54">
        <v>90</v>
      </c>
      <c r="H54">
        <f t="shared" ca="1" si="3"/>
        <v>270</v>
      </c>
      <c r="I54" t="s">
        <v>214</v>
      </c>
      <c r="J54" t="str">
        <f ca="1">VLOOKUP(B54,Customer_Data!$A:$D,4,FALSE)</f>
        <v>Regular</v>
      </c>
    </row>
    <row r="55" spans="1:10" x14ac:dyDescent="0.35">
      <c r="A55" t="s">
        <v>302</v>
      </c>
      <c r="B55" t="str">
        <f t="shared" ca="1" si="0"/>
        <v>CUST190</v>
      </c>
      <c r="C55" s="1">
        <f t="shared" ca="1" si="1"/>
        <v>45804</v>
      </c>
      <c r="D55" t="s">
        <v>1251</v>
      </c>
      <c r="E55" t="s">
        <v>1256</v>
      </c>
      <c r="F55">
        <f t="shared" ca="1" si="2"/>
        <v>8</v>
      </c>
      <c r="G55">
        <v>80</v>
      </c>
      <c r="H55">
        <f t="shared" ca="1" si="3"/>
        <v>640</v>
      </c>
      <c r="I55" t="s">
        <v>213</v>
      </c>
      <c r="J55" t="str">
        <f ca="1">VLOOKUP(B55,Customer_Data!$A:$D,4,FALSE)</f>
        <v>Regular</v>
      </c>
    </row>
    <row r="56" spans="1:10" x14ac:dyDescent="0.35">
      <c r="A56" t="s">
        <v>303</v>
      </c>
      <c r="B56" t="str">
        <f t="shared" ca="1" si="0"/>
        <v>CUST008</v>
      </c>
      <c r="C56" s="1">
        <f t="shared" ca="1" si="1"/>
        <v>45903</v>
      </c>
      <c r="D56" t="s">
        <v>1249</v>
      </c>
      <c r="E56" t="s">
        <v>1254</v>
      </c>
      <c r="F56">
        <f t="shared" ca="1" si="2"/>
        <v>2</v>
      </c>
      <c r="G56">
        <v>25</v>
      </c>
      <c r="H56">
        <f t="shared" ca="1" si="3"/>
        <v>50</v>
      </c>
      <c r="I56" t="s">
        <v>213</v>
      </c>
      <c r="J56" t="str">
        <f ca="1">VLOOKUP(B56,Customer_Data!$A:$D,4,FALSE)</f>
        <v>Regular</v>
      </c>
    </row>
    <row r="57" spans="1:10" x14ac:dyDescent="0.35">
      <c r="A57" t="s">
        <v>304</v>
      </c>
      <c r="B57" t="str">
        <f t="shared" ca="1" si="0"/>
        <v>CUST071</v>
      </c>
      <c r="C57" s="1">
        <f t="shared" ca="1" si="1"/>
        <v>45853</v>
      </c>
      <c r="D57" t="s">
        <v>1251</v>
      </c>
      <c r="E57" t="s">
        <v>1256</v>
      </c>
      <c r="F57">
        <f t="shared" ca="1" si="2"/>
        <v>4</v>
      </c>
      <c r="G57">
        <v>80</v>
      </c>
      <c r="H57">
        <f t="shared" ca="1" si="3"/>
        <v>320</v>
      </c>
      <c r="I57" t="s">
        <v>214</v>
      </c>
      <c r="J57" t="str">
        <f ca="1">VLOOKUP(B57,Customer_Data!$A:$D,4,FALSE)</f>
        <v>Regular</v>
      </c>
    </row>
    <row r="58" spans="1:10" x14ac:dyDescent="0.35">
      <c r="A58" t="s">
        <v>305</v>
      </c>
      <c r="B58" t="str">
        <f t="shared" ca="1" si="0"/>
        <v>CUST165</v>
      </c>
      <c r="C58" s="1">
        <f t="shared" ca="1" si="1"/>
        <v>45826</v>
      </c>
      <c r="D58" t="s">
        <v>1252</v>
      </c>
      <c r="E58" t="s">
        <v>1257</v>
      </c>
      <c r="F58">
        <f t="shared" ca="1" si="2"/>
        <v>9</v>
      </c>
      <c r="G58">
        <v>120</v>
      </c>
      <c r="H58">
        <f t="shared" ca="1" si="3"/>
        <v>1080</v>
      </c>
      <c r="I58" t="s">
        <v>211</v>
      </c>
      <c r="J58" t="str">
        <f ca="1">VLOOKUP(B58,Customer_Data!$A:$D,4,FALSE)</f>
        <v>Regular</v>
      </c>
    </row>
    <row r="59" spans="1:10" x14ac:dyDescent="0.35">
      <c r="A59" t="s">
        <v>306</v>
      </c>
      <c r="B59" t="str">
        <f t="shared" ca="1" si="0"/>
        <v>CUST195</v>
      </c>
      <c r="C59" s="1">
        <f t="shared" ca="1" si="1"/>
        <v>45822</v>
      </c>
      <c r="D59" t="s">
        <v>1249</v>
      </c>
      <c r="E59" t="s">
        <v>1254</v>
      </c>
      <c r="F59">
        <f t="shared" ca="1" si="2"/>
        <v>6</v>
      </c>
      <c r="G59">
        <v>25</v>
      </c>
      <c r="H59">
        <f t="shared" ca="1" si="3"/>
        <v>150</v>
      </c>
      <c r="I59" t="s">
        <v>214</v>
      </c>
      <c r="J59" t="str">
        <f ca="1">VLOOKUP(B59,Customer_Data!$A:$D,4,FALSE)</f>
        <v>Silver</v>
      </c>
    </row>
    <row r="60" spans="1:10" x14ac:dyDescent="0.35">
      <c r="A60" t="s">
        <v>307</v>
      </c>
      <c r="B60" t="str">
        <f t="shared" ca="1" si="0"/>
        <v>CUST055</v>
      </c>
      <c r="C60" s="1">
        <f t="shared" ca="1" si="1"/>
        <v>45833</v>
      </c>
      <c r="D60" t="s">
        <v>1251</v>
      </c>
      <c r="E60" t="s">
        <v>1256</v>
      </c>
      <c r="F60">
        <f t="shared" ca="1" si="2"/>
        <v>1</v>
      </c>
      <c r="G60">
        <v>80</v>
      </c>
      <c r="H60">
        <f t="shared" ca="1" si="3"/>
        <v>80</v>
      </c>
      <c r="I60" t="s">
        <v>212</v>
      </c>
      <c r="J60" t="str">
        <f ca="1">VLOOKUP(B60,Customer_Data!$A:$D,4,FALSE)</f>
        <v>Silver</v>
      </c>
    </row>
    <row r="61" spans="1:10" x14ac:dyDescent="0.35">
      <c r="A61" t="s">
        <v>308</v>
      </c>
      <c r="B61" t="str">
        <f t="shared" ca="1" si="0"/>
        <v>CUST168</v>
      </c>
      <c r="C61" s="1">
        <f t="shared" ca="1" si="1"/>
        <v>45771</v>
      </c>
      <c r="D61" t="s">
        <v>1250</v>
      </c>
      <c r="E61" t="s">
        <v>1255</v>
      </c>
      <c r="F61">
        <f t="shared" ca="1" si="2"/>
        <v>8</v>
      </c>
      <c r="G61">
        <v>60</v>
      </c>
      <c r="H61">
        <f t="shared" ca="1" si="3"/>
        <v>480</v>
      </c>
      <c r="I61" t="s">
        <v>214</v>
      </c>
      <c r="J61" t="str">
        <f ca="1">VLOOKUP(B61,Customer_Data!$A:$D,4,FALSE)</f>
        <v>Regular</v>
      </c>
    </row>
    <row r="62" spans="1:10" x14ac:dyDescent="0.35">
      <c r="A62" t="s">
        <v>309</v>
      </c>
      <c r="B62" t="str">
        <f t="shared" ca="1" si="0"/>
        <v>CUST004</v>
      </c>
      <c r="C62" s="1">
        <f t="shared" ca="1" si="1"/>
        <v>45929</v>
      </c>
      <c r="D62" t="s">
        <v>1252</v>
      </c>
      <c r="E62" t="s">
        <v>1257</v>
      </c>
      <c r="F62">
        <f t="shared" ca="1" si="2"/>
        <v>7</v>
      </c>
      <c r="G62">
        <v>120</v>
      </c>
      <c r="H62">
        <f t="shared" ca="1" si="3"/>
        <v>840</v>
      </c>
      <c r="I62" t="s">
        <v>211</v>
      </c>
      <c r="J62" t="str">
        <f ca="1">VLOOKUP(B62,Customer_Data!$A:$D,4,FALSE)</f>
        <v>Regular</v>
      </c>
    </row>
    <row r="63" spans="1:10" x14ac:dyDescent="0.35">
      <c r="A63" t="s">
        <v>310</v>
      </c>
      <c r="B63" t="str">
        <f t="shared" ca="1" si="0"/>
        <v>CUST138</v>
      </c>
      <c r="C63" s="1">
        <f t="shared" ca="1" si="1"/>
        <v>45947</v>
      </c>
      <c r="D63" t="s">
        <v>1253</v>
      </c>
      <c r="E63" t="s">
        <v>1258</v>
      </c>
      <c r="F63">
        <f t="shared" ca="1" si="2"/>
        <v>3</v>
      </c>
      <c r="G63">
        <v>90</v>
      </c>
      <c r="H63">
        <f t="shared" ca="1" si="3"/>
        <v>270</v>
      </c>
      <c r="I63" t="s">
        <v>214</v>
      </c>
      <c r="J63" t="str">
        <f ca="1">VLOOKUP(B63,Customer_Data!$A:$D,4,FALSE)</f>
        <v>Gold</v>
      </c>
    </row>
    <row r="64" spans="1:10" x14ac:dyDescent="0.35">
      <c r="A64" t="s">
        <v>311</v>
      </c>
      <c r="B64" t="str">
        <f t="shared" ca="1" si="0"/>
        <v>CUST095</v>
      </c>
      <c r="C64" s="1">
        <f t="shared" ca="1" si="1"/>
        <v>45744</v>
      </c>
      <c r="D64" t="s">
        <v>1251</v>
      </c>
      <c r="E64" t="s">
        <v>1256</v>
      </c>
      <c r="F64">
        <f t="shared" ca="1" si="2"/>
        <v>3</v>
      </c>
      <c r="G64">
        <v>80</v>
      </c>
      <c r="H64">
        <f t="shared" ca="1" si="3"/>
        <v>240</v>
      </c>
      <c r="I64" t="s">
        <v>214</v>
      </c>
      <c r="J64" t="str">
        <f ca="1">VLOOKUP(B64,Customer_Data!$A:$D,4,FALSE)</f>
        <v>Silver</v>
      </c>
    </row>
    <row r="65" spans="1:10" x14ac:dyDescent="0.35">
      <c r="A65" t="s">
        <v>312</v>
      </c>
      <c r="B65" t="str">
        <f t="shared" ca="1" si="0"/>
        <v>CUST189</v>
      </c>
      <c r="C65" s="1">
        <f t="shared" ca="1" si="1"/>
        <v>45685</v>
      </c>
      <c r="D65" t="s">
        <v>1249</v>
      </c>
      <c r="E65" t="s">
        <v>1254</v>
      </c>
      <c r="F65">
        <f t="shared" ca="1" si="2"/>
        <v>1</v>
      </c>
      <c r="G65">
        <v>25</v>
      </c>
      <c r="H65">
        <f t="shared" ca="1" si="3"/>
        <v>25</v>
      </c>
      <c r="I65" t="s">
        <v>212</v>
      </c>
      <c r="J65" t="str">
        <f ca="1">VLOOKUP(B65,Customer_Data!$A:$D,4,FALSE)</f>
        <v>Regular</v>
      </c>
    </row>
    <row r="66" spans="1:10" x14ac:dyDescent="0.35">
      <c r="A66" t="s">
        <v>313</v>
      </c>
      <c r="B66" t="str">
        <f t="shared" ca="1" si="0"/>
        <v>CUST171</v>
      </c>
      <c r="C66" s="1">
        <f t="shared" ca="1" si="1"/>
        <v>45945</v>
      </c>
      <c r="D66" t="s">
        <v>1253</v>
      </c>
      <c r="E66" t="s">
        <v>1258</v>
      </c>
      <c r="F66">
        <f t="shared" ca="1" si="2"/>
        <v>8</v>
      </c>
      <c r="G66">
        <v>90</v>
      </c>
      <c r="H66">
        <f t="shared" ca="1" si="3"/>
        <v>720</v>
      </c>
      <c r="I66" t="s">
        <v>213</v>
      </c>
      <c r="J66" t="str">
        <f ca="1">VLOOKUP(B66,Customer_Data!$A:$D,4,FALSE)</f>
        <v>Regular</v>
      </c>
    </row>
    <row r="67" spans="1:10" x14ac:dyDescent="0.35">
      <c r="A67" t="s">
        <v>314</v>
      </c>
      <c r="B67" t="str">
        <f t="shared" ref="B67:B130" ca="1" si="4">"CUST"&amp;TEXT(RANDBETWEEN(1,200),"000")</f>
        <v>CUST062</v>
      </c>
      <c r="C67" s="1">
        <f t="shared" ref="C67:C130" ca="1" si="5">DATE(2025,1,1)+RANDBETWEEN(0,364)</f>
        <v>45727</v>
      </c>
      <c r="D67" t="s">
        <v>1250</v>
      </c>
      <c r="E67" t="s">
        <v>1255</v>
      </c>
      <c r="F67">
        <f t="shared" ref="F67:F130" ca="1" si="6">RANDBETWEEN(1,10)</f>
        <v>3</v>
      </c>
      <c r="G67">
        <v>60</v>
      </c>
      <c r="H67">
        <f t="shared" ref="H67:H130" ca="1" si="7">F67*G67</f>
        <v>180</v>
      </c>
      <c r="I67" t="s">
        <v>214</v>
      </c>
      <c r="J67" t="str">
        <f ca="1">VLOOKUP(B67,Customer_Data!$A:$D,4,FALSE)</f>
        <v>Regular</v>
      </c>
    </row>
    <row r="68" spans="1:10" x14ac:dyDescent="0.35">
      <c r="A68" t="s">
        <v>315</v>
      </c>
      <c r="B68" t="str">
        <f t="shared" ca="1" si="4"/>
        <v>CUST197</v>
      </c>
      <c r="C68" s="1">
        <f t="shared" ca="1" si="5"/>
        <v>45666</v>
      </c>
      <c r="D68" t="s">
        <v>1249</v>
      </c>
      <c r="E68" t="s">
        <v>1254</v>
      </c>
      <c r="F68">
        <f t="shared" ca="1" si="6"/>
        <v>8</v>
      </c>
      <c r="G68">
        <v>25</v>
      </c>
      <c r="H68">
        <f t="shared" ca="1" si="7"/>
        <v>200</v>
      </c>
      <c r="I68" t="s">
        <v>211</v>
      </c>
      <c r="J68" t="str">
        <f ca="1">VLOOKUP(B68,Customer_Data!$A:$D,4,FALSE)</f>
        <v>Silver</v>
      </c>
    </row>
    <row r="69" spans="1:10" x14ac:dyDescent="0.35">
      <c r="A69" t="s">
        <v>316</v>
      </c>
      <c r="B69" t="str">
        <f t="shared" ca="1" si="4"/>
        <v>CUST160</v>
      </c>
      <c r="C69" s="1">
        <f t="shared" ca="1" si="5"/>
        <v>45964</v>
      </c>
      <c r="D69" t="s">
        <v>1251</v>
      </c>
      <c r="E69" t="s">
        <v>1256</v>
      </c>
      <c r="F69">
        <f t="shared" ca="1" si="6"/>
        <v>9</v>
      </c>
      <c r="G69">
        <v>80</v>
      </c>
      <c r="H69">
        <f t="shared" ca="1" si="7"/>
        <v>720</v>
      </c>
      <c r="I69" t="s">
        <v>211</v>
      </c>
      <c r="J69" t="str">
        <f ca="1">VLOOKUP(B69,Customer_Data!$A:$D,4,FALSE)</f>
        <v>Gold</v>
      </c>
    </row>
    <row r="70" spans="1:10" x14ac:dyDescent="0.35">
      <c r="A70" t="s">
        <v>317</v>
      </c>
      <c r="B70" t="str">
        <f t="shared" ca="1" si="4"/>
        <v>CUST064</v>
      </c>
      <c r="C70" s="1">
        <f t="shared" ca="1" si="5"/>
        <v>45907</v>
      </c>
      <c r="D70" t="s">
        <v>1249</v>
      </c>
      <c r="E70" t="s">
        <v>1254</v>
      </c>
      <c r="F70">
        <f t="shared" ca="1" si="6"/>
        <v>1</v>
      </c>
      <c r="G70">
        <v>25</v>
      </c>
      <c r="H70">
        <f t="shared" ca="1" si="7"/>
        <v>25</v>
      </c>
      <c r="I70" t="s">
        <v>211</v>
      </c>
      <c r="J70" t="str">
        <f ca="1">VLOOKUP(B70,Customer_Data!$A:$D,4,FALSE)</f>
        <v>Regular</v>
      </c>
    </row>
    <row r="71" spans="1:10" x14ac:dyDescent="0.35">
      <c r="A71" t="s">
        <v>318</v>
      </c>
      <c r="B71" t="str">
        <f t="shared" ca="1" si="4"/>
        <v>CUST146</v>
      </c>
      <c r="C71" s="1">
        <f t="shared" ca="1" si="5"/>
        <v>45725</v>
      </c>
      <c r="D71" t="s">
        <v>1253</v>
      </c>
      <c r="E71" t="s">
        <v>1258</v>
      </c>
      <c r="F71">
        <f t="shared" ca="1" si="6"/>
        <v>4</v>
      </c>
      <c r="G71">
        <v>90</v>
      </c>
      <c r="H71">
        <f t="shared" ca="1" si="7"/>
        <v>360</v>
      </c>
      <c r="I71" t="s">
        <v>214</v>
      </c>
      <c r="J71" t="str">
        <f ca="1">VLOOKUP(B71,Customer_Data!$A:$D,4,FALSE)</f>
        <v>Regular</v>
      </c>
    </row>
    <row r="72" spans="1:10" x14ac:dyDescent="0.35">
      <c r="A72" t="s">
        <v>319</v>
      </c>
      <c r="B72" t="str">
        <f t="shared" ca="1" si="4"/>
        <v>CUST117</v>
      </c>
      <c r="C72" s="1">
        <f t="shared" ca="1" si="5"/>
        <v>45727</v>
      </c>
      <c r="D72" t="s">
        <v>1249</v>
      </c>
      <c r="E72" t="s">
        <v>1254</v>
      </c>
      <c r="F72">
        <f t="shared" ca="1" si="6"/>
        <v>8</v>
      </c>
      <c r="G72">
        <v>25</v>
      </c>
      <c r="H72">
        <f t="shared" ca="1" si="7"/>
        <v>200</v>
      </c>
      <c r="I72" t="s">
        <v>211</v>
      </c>
      <c r="J72" t="str">
        <f ca="1">VLOOKUP(B72,Customer_Data!$A:$D,4,FALSE)</f>
        <v>Silver</v>
      </c>
    </row>
    <row r="73" spans="1:10" x14ac:dyDescent="0.35">
      <c r="A73" t="s">
        <v>320</v>
      </c>
      <c r="B73" t="str">
        <f t="shared" ca="1" si="4"/>
        <v>CUST154</v>
      </c>
      <c r="C73" s="1">
        <f t="shared" ca="1" si="5"/>
        <v>45849</v>
      </c>
      <c r="D73" t="s">
        <v>1253</v>
      </c>
      <c r="E73" t="s">
        <v>1258</v>
      </c>
      <c r="F73">
        <f t="shared" ca="1" si="6"/>
        <v>8</v>
      </c>
      <c r="G73">
        <v>90</v>
      </c>
      <c r="H73">
        <f t="shared" ca="1" si="7"/>
        <v>720</v>
      </c>
      <c r="I73" t="s">
        <v>214</v>
      </c>
      <c r="J73" t="str">
        <f ca="1">VLOOKUP(B73,Customer_Data!$A:$D,4,FALSE)</f>
        <v>Silver</v>
      </c>
    </row>
    <row r="74" spans="1:10" x14ac:dyDescent="0.35">
      <c r="A74" t="s">
        <v>321</v>
      </c>
      <c r="B74" t="str">
        <f t="shared" ca="1" si="4"/>
        <v>CUST165</v>
      </c>
      <c r="C74" s="1">
        <f t="shared" ca="1" si="5"/>
        <v>45982</v>
      </c>
      <c r="D74" t="s">
        <v>1252</v>
      </c>
      <c r="E74" t="s">
        <v>1257</v>
      </c>
      <c r="F74">
        <f t="shared" ca="1" si="6"/>
        <v>7</v>
      </c>
      <c r="G74">
        <v>120</v>
      </c>
      <c r="H74">
        <f t="shared" ca="1" si="7"/>
        <v>840</v>
      </c>
      <c r="I74" t="s">
        <v>214</v>
      </c>
      <c r="J74" t="str">
        <f ca="1">VLOOKUP(B74,Customer_Data!$A:$D,4,FALSE)</f>
        <v>Regular</v>
      </c>
    </row>
    <row r="75" spans="1:10" x14ac:dyDescent="0.35">
      <c r="A75" t="s">
        <v>322</v>
      </c>
      <c r="B75" t="str">
        <f t="shared" ca="1" si="4"/>
        <v>CUST132</v>
      </c>
      <c r="C75" s="1">
        <f t="shared" ca="1" si="5"/>
        <v>45937</v>
      </c>
      <c r="D75" t="s">
        <v>1253</v>
      </c>
      <c r="E75" t="s">
        <v>1258</v>
      </c>
      <c r="F75">
        <f t="shared" ca="1" si="6"/>
        <v>2</v>
      </c>
      <c r="G75">
        <v>90</v>
      </c>
      <c r="H75">
        <f t="shared" ca="1" si="7"/>
        <v>180</v>
      </c>
      <c r="I75" t="s">
        <v>211</v>
      </c>
      <c r="J75" t="str">
        <f ca="1">VLOOKUP(B75,Customer_Data!$A:$D,4,FALSE)</f>
        <v>Regular</v>
      </c>
    </row>
    <row r="76" spans="1:10" x14ac:dyDescent="0.35">
      <c r="A76" t="s">
        <v>323</v>
      </c>
      <c r="B76" t="str">
        <f t="shared" ca="1" si="4"/>
        <v>CUST005</v>
      </c>
      <c r="C76" s="1">
        <f t="shared" ca="1" si="5"/>
        <v>45938</v>
      </c>
      <c r="D76" t="s">
        <v>1253</v>
      </c>
      <c r="E76" t="s">
        <v>1258</v>
      </c>
      <c r="F76">
        <f t="shared" ca="1" si="6"/>
        <v>9</v>
      </c>
      <c r="G76">
        <v>90</v>
      </c>
      <c r="H76">
        <f t="shared" ca="1" si="7"/>
        <v>810</v>
      </c>
      <c r="I76" t="s">
        <v>214</v>
      </c>
      <c r="J76" t="str">
        <f ca="1">VLOOKUP(B76,Customer_Data!$A:$D,4,FALSE)</f>
        <v>Regular</v>
      </c>
    </row>
    <row r="77" spans="1:10" x14ac:dyDescent="0.35">
      <c r="A77" t="s">
        <v>324</v>
      </c>
      <c r="B77" t="str">
        <f t="shared" ca="1" si="4"/>
        <v>CUST061</v>
      </c>
      <c r="C77" s="1">
        <f t="shared" ca="1" si="5"/>
        <v>45673</v>
      </c>
      <c r="D77" t="s">
        <v>1249</v>
      </c>
      <c r="E77" t="s">
        <v>1254</v>
      </c>
      <c r="F77">
        <f t="shared" ca="1" si="6"/>
        <v>5</v>
      </c>
      <c r="G77">
        <v>25</v>
      </c>
      <c r="H77">
        <f t="shared" ca="1" si="7"/>
        <v>125</v>
      </c>
      <c r="I77" t="s">
        <v>211</v>
      </c>
      <c r="J77" t="str">
        <f ca="1">VLOOKUP(B77,Customer_Data!$A:$D,4,FALSE)</f>
        <v>Regular</v>
      </c>
    </row>
    <row r="78" spans="1:10" x14ac:dyDescent="0.35">
      <c r="A78" t="s">
        <v>325</v>
      </c>
      <c r="B78" t="str">
        <f t="shared" ca="1" si="4"/>
        <v>CUST169</v>
      </c>
      <c r="C78" s="1">
        <f t="shared" ca="1" si="5"/>
        <v>45837</v>
      </c>
      <c r="D78" t="s">
        <v>1251</v>
      </c>
      <c r="E78" t="s">
        <v>1256</v>
      </c>
      <c r="F78">
        <f t="shared" ca="1" si="6"/>
        <v>7</v>
      </c>
      <c r="G78">
        <v>80</v>
      </c>
      <c r="H78">
        <f t="shared" ca="1" si="7"/>
        <v>560</v>
      </c>
      <c r="I78" t="s">
        <v>214</v>
      </c>
      <c r="J78" t="str">
        <f ca="1">VLOOKUP(B78,Customer_Data!$A:$D,4,FALSE)</f>
        <v>Regular</v>
      </c>
    </row>
    <row r="79" spans="1:10" x14ac:dyDescent="0.35">
      <c r="A79" t="s">
        <v>326</v>
      </c>
      <c r="B79" t="str">
        <f t="shared" ca="1" si="4"/>
        <v>CUST081</v>
      </c>
      <c r="C79" s="1">
        <f t="shared" ca="1" si="5"/>
        <v>45789</v>
      </c>
      <c r="D79" t="s">
        <v>1253</v>
      </c>
      <c r="E79" t="s">
        <v>1258</v>
      </c>
      <c r="F79">
        <f t="shared" ca="1" si="6"/>
        <v>5</v>
      </c>
      <c r="G79">
        <v>90</v>
      </c>
      <c r="H79">
        <f t="shared" ca="1" si="7"/>
        <v>450</v>
      </c>
      <c r="I79" t="s">
        <v>214</v>
      </c>
      <c r="J79" t="str">
        <f ca="1">VLOOKUP(B79,Customer_Data!$A:$D,4,FALSE)</f>
        <v>Regular</v>
      </c>
    </row>
    <row r="80" spans="1:10" x14ac:dyDescent="0.35">
      <c r="A80" t="s">
        <v>327</v>
      </c>
      <c r="B80" t="str">
        <f t="shared" ca="1" si="4"/>
        <v>CUST184</v>
      </c>
      <c r="C80" s="1">
        <f t="shared" ca="1" si="5"/>
        <v>45745</v>
      </c>
      <c r="D80" t="s">
        <v>1251</v>
      </c>
      <c r="E80" t="s">
        <v>1256</v>
      </c>
      <c r="F80">
        <f t="shared" ca="1" si="6"/>
        <v>2</v>
      </c>
      <c r="G80">
        <v>80</v>
      </c>
      <c r="H80">
        <f t="shared" ca="1" si="7"/>
        <v>160</v>
      </c>
      <c r="I80" t="s">
        <v>211</v>
      </c>
      <c r="J80" t="str">
        <f ca="1">VLOOKUP(B80,Customer_Data!$A:$D,4,FALSE)</f>
        <v>Regular</v>
      </c>
    </row>
    <row r="81" spans="1:10" x14ac:dyDescent="0.35">
      <c r="A81" t="s">
        <v>328</v>
      </c>
      <c r="B81" t="str">
        <f t="shared" ca="1" si="4"/>
        <v>CUST182</v>
      </c>
      <c r="C81" s="1">
        <f t="shared" ca="1" si="5"/>
        <v>45784</v>
      </c>
      <c r="D81" t="s">
        <v>1250</v>
      </c>
      <c r="E81" t="s">
        <v>1255</v>
      </c>
      <c r="F81">
        <f t="shared" ca="1" si="6"/>
        <v>6</v>
      </c>
      <c r="G81">
        <v>60</v>
      </c>
      <c r="H81">
        <f t="shared" ca="1" si="7"/>
        <v>360</v>
      </c>
      <c r="I81" t="s">
        <v>214</v>
      </c>
      <c r="J81" t="str">
        <f ca="1">VLOOKUP(B81,Customer_Data!$A:$D,4,FALSE)</f>
        <v>Regular</v>
      </c>
    </row>
    <row r="82" spans="1:10" x14ac:dyDescent="0.35">
      <c r="A82" t="s">
        <v>329</v>
      </c>
      <c r="B82" t="str">
        <f t="shared" ca="1" si="4"/>
        <v>CUST187</v>
      </c>
      <c r="C82" s="1">
        <f t="shared" ca="1" si="5"/>
        <v>45791</v>
      </c>
      <c r="D82" t="s">
        <v>1252</v>
      </c>
      <c r="E82" t="s">
        <v>1257</v>
      </c>
      <c r="F82">
        <f t="shared" ca="1" si="6"/>
        <v>10</v>
      </c>
      <c r="G82">
        <v>120</v>
      </c>
      <c r="H82">
        <f t="shared" ca="1" si="7"/>
        <v>1200</v>
      </c>
      <c r="I82" t="s">
        <v>213</v>
      </c>
      <c r="J82" t="str">
        <f ca="1">VLOOKUP(B82,Customer_Data!$A:$D,4,FALSE)</f>
        <v>Regular</v>
      </c>
    </row>
    <row r="83" spans="1:10" x14ac:dyDescent="0.35">
      <c r="A83" t="s">
        <v>330</v>
      </c>
      <c r="B83" t="str">
        <f t="shared" ca="1" si="4"/>
        <v>CUST156</v>
      </c>
      <c r="C83" s="1">
        <f t="shared" ca="1" si="5"/>
        <v>45668</v>
      </c>
      <c r="D83" t="s">
        <v>1250</v>
      </c>
      <c r="E83" t="s">
        <v>1255</v>
      </c>
      <c r="F83">
        <f t="shared" ca="1" si="6"/>
        <v>7</v>
      </c>
      <c r="G83">
        <v>60</v>
      </c>
      <c r="H83">
        <f t="shared" ca="1" si="7"/>
        <v>420</v>
      </c>
      <c r="I83" t="s">
        <v>213</v>
      </c>
      <c r="J83" t="str">
        <f ca="1">VLOOKUP(B83,Customer_Data!$A:$D,4,FALSE)</f>
        <v>Silver</v>
      </c>
    </row>
    <row r="84" spans="1:10" x14ac:dyDescent="0.35">
      <c r="A84" t="s">
        <v>331</v>
      </c>
      <c r="B84" t="str">
        <f t="shared" ca="1" si="4"/>
        <v>CUST155</v>
      </c>
      <c r="C84" s="1">
        <f t="shared" ca="1" si="5"/>
        <v>45702</v>
      </c>
      <c r="D84" t="s">
        <v>1251</v>
      </c>
      <c r="E84" t="s">
        <v>1256</v>
      </c>
      <c r="F84">
        <f t="shared" ca="1" si="6"/>
        <v>9</v>
      </c>
      <c r="G84">
        <v>80</v>
      </c>
      <c r="H84">
        <f t="shared" ca="1" si="7"/>
        <v>720</v>
      </c>
      <c r="I84" t="s">
        <v>214</v>
      </c>
      <c r="J84" t="str">
        <f ca="1">VLOOKUP(B84,Customer_Data!$A:$D,4,FALSE)</f>
        <v>Silver</v>
      </c>
    </row>
    <row r="85" spans="1:10" x14ac:dyDescent="0.35">
      <c r="A85" t="s">
        <v>332</v>
      </c>
      <c r="B85" t="str">
        <f t="shared" ca="1" si="4"/>
        <v>CUST126</v>
      </c>
      <c r="C85" s="1">
        <f t="shared" ca="1" si="5"/>
        <v>45762</v>
      </c>
      <c r="D85" t="s">
        <v>1249</v>
      </c>
      <c r="E85" t="s">
        <v>1254</v>
      </c>
      <c r="F85">
        <f t="shared" ca="1" si="6"/>
        <v>6</v>
      </c>
      <c r="G85">
        <v>25</v>
      </c>
      <c r="H85">
        <f t="shared" ca="1" si="7"/>
        <v>150</v>
      </c>
      <c r="I85" t="s">
        <v>214</v>
      </c>
      <c r="J85" t="str">
        <f ca="1">VLOOKUP(B85,Customer_Data!$A:$D,4,FALSE)</f>
        <v>Regular</v>
      </c>
    </row>
    <row r="86" spans="1:10" x14ac:dyDescent="0.35">
      <c r="A86" t="s">
        <v>333</v>
      </c>
      <c r="B86" t="str">
        <f t="shared" ca="1" si="4"/>
        <v>CUST177</v>
      </c>
      <c r="C86" s="1">
        <f t="shared" ca="1" si="5"/>
        <v>45707</v>
      </c>
      <c r="D86" t="s">
        <v>1253</v>
      </c>
      <c r="E86" t="s">
        <v>1258</v>
      </c>
      <c r="F86">
        <f t="shared" ca="1" si="6"/>
        <v>7</v>
      </c>
      <c r="G86">
        <v>90</v>
      </c>
      <c r="H86">
        <f t="shared" ca="1" si="7"/>
        <v>630</v>
      </c>
      <c r="I86" t="s">
        <v>213</v>
      </c>
      <c r="J86" t="str">
        <f ca="1">VLOOKUP(B86,Customer_Data!$A:$D,4,FALSE)</f>
        <v>Silver</v>
      </c>
    </row>
    <row r="87" spans="1:10" x14ac:dyDescent="0.35">
      <c r="A87" t="s">
        <v>334</v>
      </c>
      <c r="B87" t="str">
        <f t="shared" ca="1" si="4"/>
        <v>CUST006</v>
      </c>
      <c r="C87" s="1">
        <f t="shared" ca="1" si="5"/>
        <v>45882</v>
      </c>
      <c r="D87" t="s">
        <v>1252</v>
      </c>
      <c r="E87" t="s">
        <v>1257</v>
      </c>
      <c r="F87">
        <f t="shared" ca="1" si="6"/>
        <v>5</v>
      </c>
      <c r="G87">
        <v>120</v>
      </c>
      <c r="H87">
        <f t="shared" ca="1" si="7"/>
        <v>600</v>
      </c>
      <c r="I87" t="s">
        <v>213</v>
      </c>
      <c r="J87" t="str">
        <f ca="1">VLOOKUP(B87,Customer_Data!$A:$D,4,FALSE)</f>
        <v>Regular</v>
      </c>
    </row>
    <row r="88" spans="1:10" x14ac:dyDescent="0.35">
      <c r="A88" t="s">
        <v>335</v>
      </c>
      <c r="B88" t="str">
        <f t="shared" ca="1" si="4"/>
        <v>CUST142</v>
      </c>
      <c r="C88" s="1">
        <f t="shared" ca="1" si="5"/>
        <v>45721</v>
      </c>
      <c r="D88" t="s">
        <v>1251</v>
      </c>
      <c r="E88" t="s">
        <v>1256</v>
      </c>
      <c r="F88">
        <f t="shared" ca="1" si="6"/>
        <v>8</v>
      </c>
      <c r="G88">
        <v>80</v>
      </c>
      <c r="H88">
        <f t="shared" ca="1" si="7"/>
        <v>640</v>
      </c>
      <c r="I88" t="s">
        <v>213</v>
      </c>
      <c r="J88" t="str">
        <f ca="1">VLOOKUP(B88,Customer_Data!$A:$D,4,FALSE)</f>
        <v>Regular</v>
      </c>
    </row>
    <row r="89" spans="1:10" x14ac:dyDescent="0.35">
      <c r="A89" t="s">
        <v>336</v>
      </c>
      <c r="B89" t="str">
        <f t="shared" ca="1" si="4"/>
        <v>CUST169</v>
      </c>
      <c r="C89" s="1">
        <f t="shared" ca="1" si="5"/>
        <v>45691</v>
      </c>
      <c r="D89" t="s">
        <v>1253</v>
      </c>
      <c r="E89" t="s">
        <v>1258</v>
      </c>
      <c r="F89">
        <f t="shared" ca="1" si="6"/>
        <v>1</v>
      </c>
      <c r="G89">
        <v>90</v>
      </c>
      <c r="H89">
        <f t="shared" ca="1" si="7"/>
        <v>90</v>
      </c>
      <c r="I89" t="s">
        <v>211</v>
      </c>
      <c r="J89" t="str">
        <f ca="1">VLOOKUP(B89,Customer_Data!$A:$D,4,FALSE)</f>
        <v>Regular</v>
      </c>
    </row>
    <row r="90" spans="1:10" x14ac:dyDescent="0.35">
      <c r="A90" t="s">
        <v>337</v>
      </c>
      <c r="B90" t="str">
        <f t="shared" ca="1" si="4"/>
        <v>CUST176</v>
      </c>
      <c r="C90" s="1">
        <f t="shared" ca="1" si="5"/>
        <v>45752</v>
      </c>
      <c r="D90" t="s">
        <v>1253</v>
      </c>
      <c r="E90" t="s">
        <v>1258</v>
      </c>
      <c r="F90">
        <f t="shared" ca="1" si="6"/>
        <v>5</v>
      </c>
      <c r="G90">
        <v>90</v>
      </c>
      <c r="H90">
        <f t="shared" ca="1" si="7"/>
        <v>450</v>
      </c>
      <c r="I90" t="s">
        <v>212</v>
      </c>
      <c r="J90" t="str">
        <f ca="1">VLOOKUP(B90,Customer_Data!$A:$D,4,FALSE)</f>
        <v>Silver</v>
      </c>
    </row>
    <row r="91" spans="1:10" x14ac:dyDescent="0.35">
      <c r="A91" t="s">
        <v>338</v>
      </c>
      <c r="B91" t="str">
        <f t="shared" ca="1" si="4"/>
        <v>CUST058</v>
      </c>
      <c r="C91" s="1">
        <f t="shared" ca="1" si="5"/>
        <v>45890</v>
      </c>
      <c r="D91" t="s">
        <v>1250</v>
      </c>
      <c r="E91" t="s">
        <v>1255</v>
      </c>
      <c r="F91">
        <f t="shared" ca="1" si="6"/>
        <v>8</v>
      </c>
      <c r="G91">
        <v>60</v>
      </c>
      <c r="H91">
        <f t="shared" ca="1" si="7"/>
        <v>480</v>
      </c>
      <c r="I91" t="s">
        <v>213</v>
      </c>
      <c r="J91" t="str">
        <f ca="1">VLOOKUP(B91,Customer_Data!$A:$D,4,FALSE)</f>
        <v>Gold</v>
      </c>
    </row>
    <row r="92" spans="1:10" x14ac:dyDescent="0.35">
      <c r="A92" t="s">
        <v>339</v>
      </c>
      <c r="B92" t="str">
        <f t="shared" ca="1" si="4"/>
        <v>CUST188</v>
      </c>
      <c r="C92" s="1">
        <f t="shared" ca="1" si="5"/>
        <v>45746</v>
      </c>
      <c r="D92" t="s">
        <v>1249</v>
      </c>
      <c r="E92" t="s">
        <v>1254</v>
      </c>
      <c r="F92">
        <f t="shared" ca="1" si="6"/>
        <v>7</v>
      </c>
      <c r="G92">
        <v>25</v>
      </c>
      <c r="H92">
        <f t="shared" ca="1" si="7"/>
        <v>175</v>
      </c>
      <c r="I92" t="s">
        <v>214</v>
      </c>
      <c r="J92" t="str">
        <f ca="1">VLOOKUP(B92,Customer_Data!$A:$D,4,FALSE)</f>
        <v>Regular</v>
      </c>
    </row>
    <row r="93" spans="1:10" x14ac:dyDescent="0.35">
      <c r="A93" t="s">
        <v>340</v>
      </c>
      <c r="B93" t="str">
        <f t="shared" ca="1" si="4"/>
        <v>CUST167</v>
      </c>
      <c r="C93" s="1">
        <f t="shared" ca="1" si="5"/>
        <v>45688</v>
      </c>
      <c r="D93" t="s">
        <v>1253</v>
      </c>
      <c r="E93" t="s">
        <v>1258</v>
      </c>
      <c r="F93">
        <f t="shared" ca="1" si="6"/>
        <v>3</v>
      </c>
      <c r="G93">
        <v>90</v>
      </c>
      <c r="H93">
        <f t="shared" ca="1" si="7"/>
        <v>270</v>
      </c>
      <c r="I93" t="s">
        <v>212</v>
      </c>
      <c r="J93" t="str">
        <f ca="1">VLOOKUP(B93,Customer_Data!$A:$D,4,FALSE)</f>
        <v>Regular</v>
      </c>
    </row>
    <row r="94" spans="1:10" x14ac:dyDescent="0.35">
      <c r="A94" t="s">
        <v>341</v>
      </c>
      <c r="B94" t="str">
        <f t="shared" ca="1" si="4"/>
        <v>CUST179</v>
      </c>
      <c r="C94" s="1">
        <f t="shared" ca="1" si="5"/>
        <v>45669</v>
      </c>
      <c r="D94" t="s">
        <v>1249</v>
      </c>
      <c r="E94" t="s">
        <v>1254</v>
      </c>
      <c r="F94">
        <f t="shared" ca="1" si="6"/>
        <v>2</v>
      </c>
      <c r="G94">
        <v>25</v>
      </c>
      <c r="H94">
        <f t="shared" ca="1" si="7"/>
        <v>50</v>
      </c>
      <c r="I94" t="s">
        <v>214</v>
      </c>
      <c r="J94" t="str">
        <f ca="1">VLOOKUP(B94,Customer_Data!$A:$D,4,FALSE)</f>
        <v>Gold</v>
      </c>
    </row>
    <row r="95" spans="1:10" x14ac:dyDescent="0.35">
      <c r="A95" t="s">
        <v>342</v>
      </c>
      <c r="B95" t="str">
        <f t="shared" ca="1" si="4"/>
        <v>CUST188</v>
      </c>
      <c r="C95" s="1">
        <f t="shared" ca="1" si="5"/>
        <v>45693</v>
      </c>
      <c r="D95" t="s">
        <v>1250</v>
      </c>
      <c r="E95" t="s">
        <v>1255</v>
      </c>
      <c r="F95">
        <f t="shared" ca="1" si="6"/>
        <v>7</v>
      </c>
      <c r="G95">
        <v>60</v>
      </c>
      <c r="H95">
        <f t="shared" ca="1" si="7"/>
        <v>420</v>
      </c>
      <c r="I95" t="s">
        <v>213</v>
      </c>
      <c r="J95" t="str">
        <f ca="1">VLOOKUP(B95,Customer_Data!$A:$D,4,FALSE)</f>
        <v>Regular</v>
      </c>
    </row>
    <row r="96" spans="1:10" x14ac:dyDescent="0.35">
      <c r="A96" t="s">
        <v>343</v>
      </c>
      <c r="B96" t="str">
        <f t="shared" ca="1" si="4"/>
        <v>CUST142</v>
      </c>
      <c r="C96" s="1">
        <f t="shared" ca="1" si="5"/>
        <v>45783</v>
      </c>
      <c r="D96" t="s">
        <v>1250</v>
      </c>
      <c r="E96" t="s">
        <v>1255</v>
      </c>
      <c r="F96">
        <f t="shared" ca="1" si="6"/>
        <v>3</v>
      </c>
      <c r="G96">
        <v>60</v>
      </c>
      <c r="H96">
        <f t="shared" ca="1" si="7"/>
        <v>180</v>
      </c>
      <c r="I96" t="s">
        <v>213</v>
      </c>
      <c r="J96" t="str">
        <f ca="1">VLOOKUP(B96,Customer_Data!$A:$D,4,FALSE)</f>
        <v>Regular</v>
      </c>
    </row>
    <row r="97" spans="1:10" x14ac:dyDescent="0.35">
      <c r="A97" t="s">
        <v>344</v>
      </c>
      <c r="B97" t="str">
        <f t="shared" ca="1" si="4"/>
        <v>CUST027</v>
      </c>
      <c r="C97" s="1">
        <f t="shared" ca="1" si="5"/>
        <v>45710</v>
      </c>
      <c r="D97" t="s">
        <v>1250</v>
      </c>
      <c r="E97" t="s">
        <v>1255</v>
      </c>
      <c r="F97">
        <f t="shared" ca="1" si="6"/>
        <v>1</v>
      </c>
      <c r="G97">
        <v>60</v>
      </c>
      <c r="H97">
        <f t="shared" ca="1" si="7"/>
        <v>60</v>
      </c>
      <c r="I97" t="s">
        <v>212</v>
      </c>
      <c r="J97" t="str">
        <f ca="1">VLOOKUP(B97,Customer_Data!$A:$D,4,FALSE)</f>
        <v>Regular</v>
      </c>
    </row>
    <row r="98" spans="1:10" x14ac:dyDescent="0.35">
      <c r="A98" t="s">
        <v>345</v>
      </c>
      <c r="B98" t="str">
        <f t="shared" ca="1" si="4"/>
        <v>CUST086</v>
      </c>
      <c r="C98" s="1">
        <f t="shared" ca="1" si="5"/>
        <v>45749</v>
      </c>
      <c r="D98" t="s">
        <v>1251</v>
      </c>
      <c r="E98" t="s">
        <v>1256</v>
      </c>
      <c r="F98">
        <f t="shared" ca="1" si="6"/>
        <v>6</v>
      </c>
      <c r="G98">
        <v>80</v>
      </c>
      <c r="H98">
        <f t="shared" ca="1" si="7"/>
        <v>480</v>
      </c>
      <c r="I98" t="s">
        <v>212</v>
      </c>
      <c r="J98" t="str">
        <f ca="1">VLOOKUP(B98,Customer_Data!$A:$D,4,FALSE)</f>
        <v>Regular</v>
      </c>
    </row>
    <row r="99" spans="1:10" x14ac:dyDescent="0.35">
      <c r="A99" t="s">
        <v>346</v>
      </c>
      <c r="B99" t="str">
        <f t="shared" ca="1" si="4"/>
        <v>CUST143</v>
      </c>
      <c r="C99" s="1">
        <f t="shared" ca="1" si="5"/>
        <v>45762</v>
      </c>
      <c r="D99" t="s">
        <v>1250</v>
      </c>
      <c r="E99" t="s">
        <v>1255</v>
      </c>
      <c r="F99">
        <f t="shared" ca="1" si="6"/>
        <v>2</v>
      </c>
      <c r="G99">
        <v>60</v>
      </c>
      <c r="H99">
        <f t="shared" ca="1" si="7"/>
        <v>120</v>
      </c>
      <c r="I99" t="s">
        <v>213</v>
      </c>
      <c r="J99" t="str">
        <f ca="1">VLOOKUP(B99,Customer_Data!$A:$D,4,FALSE)</f>
        <v>Regular</v>
      </c>
    </row>
    <row r="100" spans="1:10" x14ac:dyDescent="0.35">
      <c r="A100" t="s">
        <v>347</v>
      </c>
      <c r="B100" t="str">
        <f t="shared" ca="1" si="4"/>
        <v>CUST079</v>
      </c>
      <c r="C100" s="1">
        <f t="shared" ca="1" si="5"/>
        <v>45871</v>
      </c>
      <c r="D100" t="s">
        <v>1252</v>
      </c>
      <c r="E100" t="s">
        <v>1257</v>
      </c>
      <c r="F100">
        <f t="shared" ca="1" si="6"/>
        <v>7</v>
      </c>
      <c r="G100">
        <v>120</v>
      </c>
      <c r="H100">
        <f t="shared" ca="1" si="7"/>
        <v>840</v>
      </c>
      <c r="I100" t="s">
        <v>213</v>
      </c>
      <c r="J100" t="str">
        <f ca="1">VLOOKUP(B100,Customer_Data!$A:$D,4,FALSE)</f>
        <v>Gold</v>
      </c>
    </row>
    <row r="101" spans="1:10" x14ac:dyDescent="0.35">
      <c r="A101" t="s">
        <v>348</v>
      </c>
      <c r="B101" t="str">
        <f t="shared" ca="1" si="4"/>
        <v>CUST140</v>
      </c>
      <c r="C101" s="1">
        <f t="shared" ca="1" si="5"/>
        <v>45803</v>
      </c>
      <c r="D101" t="s">
        <v>1249</v>
      </c>
      <c r="E101" t="s">
        <v>1254</v>
      </c>
      <c r="F101">
        <f t="shared" ca="1" si="6"/>
        <v>7</v>
      </c>
      <c r="G101">
        <v>25</v>
      </c>
      <c r="H101">
        <f t="shared" ca="1" si="7"/>
        <v>175</v>
      </c>
      <c r="I101" t="s">
        <v>214</v>
      </c>
      <c r="J101" t="str">
        <f ca="1">VLOOKUP(B101,Customer_Data!$A:$D,4,FALSE)</f>
        <v>Gold</v>
      </c>
    </row>
    <row r="102" spans="1:10" x14ac:dyDescent="0.35">
      <c r="A102" t="s">
        <v>349</v>
      </c>
      <c r="B102" t="str">
        <f t="shared" ca="1" si="4"/>
        <v>CUST053</v>
      </c>
      <c r="C102" s="1">
        <f t="shared" ca="1" si="5"/>
        <v>45896</v>
      </c>
      <c r="D102" t="s">
        <v>1249</v>
      </c>
      <c r="E102" t="s">
        <v>1254</v>
      </c>
      <c r="F102">
        <f t="shared" ca="1" si="6"/>
        <v>5</v>
      </c>
      <c r="G102">
        <v>25</v>
      </c>
      <c r="H102">
        <f t="shared" ca="1" si="7"/>
        <v>125</v>
      </c>
      <c r="I102" t="s">
        <v>214</v>
      </c>
      <c r="J102" t="str">
        <f ca="1">VLOOKUP(B102,Customer_Data!$A:$D,4,FALSE)</f>
        <v>Silver</v>
      </c>
    </row>
    <row r="103" spans="1:10" x14ac:dyDescent="0.35">
      <c r="A103" t="s">
        <v>350</v>
      </c>
      <c r="B103" t="str">
        <f t="shared" ca="1" si="4"/>
        <v>CUST093</v>
      </c>
      <c r="C103" s="1">
        <f t="shared" ca="1" si="5"/>
        <v>45977</v>
      </c>
      <c r="D103" t="s">
        <v>1251</v>
      </c>
      <c r="E103" t="s">
        <v>1256</v>
      </c>
      <c r="F103">
        <f t="shared" ca="1" si="6"/>
        <v>5</v>
      </c>
      <c r="G103">
        <v>80</v>
      </c>
      <c r="H103">
        <f t="shared" ca="1" si="7"/>
        <v>400</v>
      </c>
      <c r="I103" t="s">
        <v>214</v>
      </c>
      <c r="J103" t="str">
        <f ca="1">VLOOKUP(B103,Customer_Data!$A:$D,4,FALSE)</f>
        <v>Silver</v>
      </c>
    </row>
    <row r="104" spans="1:10" x14ac:dyDescent="0.35">
      <c r="A104" t="s">
        <v>351</v>
      </c>
      <c r="B104" t="str">
        <f t="shared" ca="1" si="4"/>
        <v>CUST151</v>
      </c>
      <c r="C104" s="1">
        <f t="shared" ca="1" si="5"/>
        <v>45693</v>
      </c>
      <c r="D104" t="s">
        <v>1253</v>
      </c>
      <c r="E104" t="s">
        <v>1258</v>
      </c>
      <c r="F104">
        <f t="shared" ca="1" si="6"/>
        <v>3</v>
      </c>
      <c r="G104">
        <v>90</v>
      </c>
      <c r="H104">
        <f t="shared" ca="1" si="7"/>
        <v>270</v>
      </c>
      <c r="I104" t="s">
        <v>214</v>
      </c>
      <c r="J104" t="str">
        <f ca="1">VLOOKUP(B104,Customer_Data!$A:$D,4,FALSE)</f>
        <v>Regular</v>
      </c>
    </row>
    <row r="105" spans="1:10" x14ac:dyDescent="0.35">
      <c r="A105" t="s">
        <v>352</v>
      </c>
      <c r="B105" t="str">
        <f t="shared" ca="1" si="4"/>
        <v>CUST098</v>
      </c>
      <c r="C105" s="1">
        <f t="shared" ca="1" si="5"/>
        <v>45854</v>
      </c>
      <c r="D105" t="s">
        <v>1250</v>
      </c>
      <c r="E105" t="s">
        <v>1255</v>
      </c>
      <c r="F105">
        <f t="shared" ca="1" si="6"/>
        <v>1</v>
      </c>
      <c r="G105">
        <v>60</v>
      </c>
      <c r="H105">
        <f t="shared" ca="1" si="7"/>
        <v>60</v>
      </c>
      <c r="I105" t="s">
        <v>213</v>
      </c>
      <c r="J105" t="str">
        <f ca="1">VLOOKUP(B105,Customer_Data!$A:$D,4,FALSE)</f>
        <v>Gold</v>
      </c>
    </row>
    <row r="106" spans="1:10" x14ac:dyDescent="0.35">
      <c r="A106" t="s">
        <v>353</v>
      </c>
      <c r="B106" t="str">
        <f t="shared" ca="1" si="4"/>
        <v>CUST114</v>
      </c>
      <c r="C106" s="1">
        <f t="shared" ca="1" si="5"/>
        <v>45830</v>
      </c>
      <c r="D106" t="s">
        <v>1250</v>
      </c>
      <c r="E106" t="s">
        <v>1255</v>
      </c>
      <c r="F106">
        <f t="shared" ca="1" si="6"/>
        <v>8</v>
      </c>
      <c r="G106">
        <v>60</v>
      </c>
      <c r="H106">
        <f t="shared" ca="1" si="7"/>
        <v>480</v>
      </c>
      <c r="I106" t="s">
        <v>211</v>
      </c>
      <c r="J106" t="str">
        <f ca="1">VLOOKUP(B106,Customer_Data!$A:$D,4,FALSE)</f>
        <v>Silver</v>
      </c>
    </row>
    <row r="107" spans="1:10" x14ac:dyDescent="0.35">
      <c r="A107" t="s">
        <v>354</v>
      </c>
      <c r="B107" t="str">
        <f t="shared" ca="1" si="4"/>
        <v>CUST058</v>
      </c>
      <c r="C107" s="1">
        <f t="shared" ca="1" si="5"/>
        <v>45660</v>
      </c>
      <c r="D107" t="s">
        <v>1252</v>
      </c>
      <c r="E107" t="s">
        <v>1257</v>
      </c>
      <c r="F107">
        <f t="shared" ca="1" si="6"/>
        <v>2</v>
      </c>
      <c r="G107">
        <v>120</v>
      </c>
      <c r="H107">
        <f t="shared" ca="1" si="7"/>
        <v>240</v>
      </c>
      <c r="I107" t="s">
        <v>214</v>
      </c>
      <c r="J107" t="str">
        <f ca="1">VLOOKUP(B107,Customer_Data!$A:$D,4,FALSE)</f>
        <v>Gold</v>
      </c>
    </row>
    <row r="108" spans="1:10" x14ac:dyDescent="0.35">
      <c r="A108" t="s">
        <v>355</v>
      </c>
      <c r="B108" t="str">
        <f t="shared" ca="1" si="4"/>
        <v>CUST184</v>
      </c>
      <c r="C108" s="1">
        <f t="shared" ca="1" si="5"/>
        <v>45883</v>
      </c>
      <c r="D108" t="s">
        <v>1252</v>
      </c>
      <c r="E108" t="s">
        <v>1257</v>
      </c>
      <c r="F108">
        <f t="shared" ca="1" si="6"/>
        <v>3</v>
      </c>
      <c r="G108">
        <v>120</v>
      </c>
      <c r="H108">
        <f t="shared" ca="1" si="7"/>
        <v>360</v>
      </c>
      <c r="I108" t="s">
        <v>211</v>
      </c>
      <c r="J108" t="str">
        <f ca="1">VLOOKUP(B108,Customer_Data!$A:$D,4,FALSE)</f>
        <v>Regular</v>
      </c>
    </row>
    <row r="109" spans="1:10" x14ac:dyDescent="0.35">
      <c r="A109" t="s">
        <v>356</v>
      </c>
      <c r="B109" t="str">
        <f t="shared" ca="1" si="4"/>
        <v>CUST041</v>
      </c>
      <c r="C109" s="1">
        <f t="shared" ca="1" si="5"/>
        <v>45895</v>
      </c>
      <c r="D109" t="s">
        <v>1252</v>
      </c>
      <c r="E109" t="s">
        <v>1257</v>
      </c>
      <c r="F109">
        <f t="shared" ca="1" si="6"/>
        <v>6</v>
      </c>
      <c r="G109">
        <v>120</v>
      </c>
      <c r="H109">
        <f t="shared" ca="1" si="7"/>
        <v>720</v>
      </c>
      <c r="I109" t="s">
        <v>213</v>
      </c>
      <c r="J109" t="str">
        <f ca="1">VLOOKUP(B109,Customer_Data!$A:$D,4,FALSE)</f>
        <v>Regular</v>
      </c>
    </row>
    <row r="110" spans="1:10" x14ac:dyDescent="0.35">
      <c r="A110" t="s">
        <v>357</v>
      </c>
      <c r="B110" t="str">
        <f t="shared" ca="1" si="4"/>
        <v>CUST037</v>
      </c>
      <c r="C110" s="1">
        <f t="shared" ca="1" si="5"/>
        <v>45958</v>
      </c>
      <c r="D110" t="s">
        <v>1252</v>
      </c>
      <c r="E110" t="s">
        <v>1257</v>
      </c>
      <c r="F110">
        <f t="shared" ca="1" si="6"/>
        <v>9</v>
      </c>
      <c r="G110">
        <v>120</v>
      </c>
      <c r="H110">
        <f t="shared" ca="1" si="7"/>
        <v>1080</v>
      </c>
      <c r="I110" t="s">
        <v>214</v>
      </c>
      <c r="J110" t="str">
        <f ca="1">VLOOKUP(B110,Customer_Data!$A:$D,4,FALSE)</f>
        <v>Silver</v>
      </c>
    </row>
    <row r="111" spans="1:10" x14ac:dyDescent="0.35">
      <c r="A111" t="s">
        <v>358</v>
      </c>
      <c r="B111" t="str">
        <f t="shared" ca="1" si="4"/>
        <v>CUST063</v>
      </c>
      <c r="C111" s="1">
        <f t="shared" ca="1" si="5"/>
        <v>45676</v>
      </c>
      <c r="D111" t="s">
        <v>1249</v>
      </c>
      <c r="E111" t="s">
        <v>1254</v>
      </c>
      <c r="F111">
        <f t="shared" ca="1" si="6"/>
        <v>9</v>
      </c>
      <c r="G111">
        <v>25</v>
      </c>
      <c r="H111">
        <f t="shared" ca="1" si="7"/>
        <v>225</v>
      </c>
      <c r="I111" t="s">
        <v>211</v>
      </c>
      <c r="J111" t="str">
        <f ca="1">VLOOKUP(B111,Customer_Data!$A:$D,4,FALSE)</f>
        <v>Regular</v>
      </c>
    </row>
    <row r="112" spans="1:10" x14ac:dyDescent="0.35">
      <c r="A112" t="s">
        <v>359</v>
      </c>
      <c r="B112" t="str">
        <f t="shared" ca="1" si="4"/>
        <v>CUST144</v>
      </c>
      <c r="C112" s="1">
        <f t="shared" ca="1" si="5"/>
        <v>45689</v>
      </c>
      <c r="D112" t="s">
        <v>1251</v>
      </c>
      <c r="E112" t="s">
        <v>1256</v>
      </c>
      <c r="F112">
        <f t="shared" ca="1" si="6"/>
        <v>2</v>
      </c>
      <c r="G112">
        <v>80</v>
      </c>
      <c r="H112">
        <f t="shared" ca="1" si="7"/>
        <v>160</v>
      </c>
      <c r="I112" t="s">
        <v>214</v>
      </c>
      <c r="J112" t="str">
        <f ca="1">VLOOKUP(B112,Customer_Data!$A:$D,4,FALSE)</f>
        <v>Regular</v>
      </c>
    </row>
    <row r="113" spans="1:10" x14ac:dyDescent="0.35">
      <c r="A113" t="s">
        <v>360</v>
      </c>
      <c r="B113" t="str">
        <f t="shared" ca="1" si="4"/>
        <v>CUST059</v>
      </c>
      <c r="C113" s="1">
        <f t="shared" ca="1" si="5"/>
        <v>45664</v>
      </c>
      <c r="D113" t="s">
        <v>1250</v>
      </c>
      <c r="E113" t="s">
        <v>1255</v>
      </c>
      <c r="F113">
        <f t="shared" ca="1" si="6"/>
        <v>9</v>
      </c>
      <c r="G113">
        <v>60</v>
      </c>
      <c r="H113">
        <f t="shared" ca="1" si="7"/>
        <v>540</v>
      </c>
      <c r="I113" t="s">
        <v>213</v>
      </c>
      <c r="J113" t="str">
        <f ca="1">VLOOKUP(B113,Customer_Data!$A:$D,4,FALSE)</f>
        <v>Gold</v>
      </c>
    </row>
    <row r="114" spans="1:10" x14ac:dyDescent="0.35">
      <c r="A114" t="s">
        <v>361</v>
      </c>
      <c r="B114" t="str">
        <f t="shared" ca="1" si="4"/>
        <v>CUST173</v>
      </c>
      <c r="C114" s="1">
        <f t="shared" ca="1" si="5"/>
        <v>45723</v>
      </c>
      <c r="D114" t="s">
        <v>1250</v>
      </c>
      <c r="E114" t="s">
        <v>1255</v>
      </c>
      <c r="F114">
        <f t="shared" ca="1" si="6"/>
        <v>2</v>
      </c>
      <c r="G114">
        <v>60</v>
      </c>
      <c r="H114">
        <f t="shared" ca="1" si="7"/>
        <v>120</v>
      </c>
      <c r="I114" t="s">
        <v>213</v>
      </c>
      <c r="J114" t="str">
        <f ca="1">VLOOKUP(B114,Customer_Data!$A:$D,4,FALSE)</f>
        <v>Silver</v>
      </c>
    </row>
    <row r="115" spans="1:10" x14ac:dyDescent="0.35">
      <c r="A115" t="s">
        <v>362</v>
      </c>
      <c r="B115" t="str">
        <f t="shared" ca="1" si="4"/>
        <v>CUST166</v>
      </c>
      <c r="C115" s="1">
        <f t="shared" ca="1" si="5"/>
        <v>45972</v>
      </c>
      <c r="D115" t="s">
        <v>1251</v>
      </c>
      <c r="E115" t="s">
        <v>1256</v>
      </c>
      <c r="F115">
        <f t="shared" ca="1" si="6"/>
        <v>8</v>
      </c>
      <c r="G115">
        <v>80</v>
      </c>
      <c r="H115">
        <f t="shared" ca="1" si="7"/>
        <v>640</v>
      </c>
      <c r="I115" t="s">
        <v>213</v>
      </c>
      <c r="J115" t="str">
        <f ca="1">VLOOKUP(B115,Customer_Data!$A:$D,4,FALSE)</f>
        <v>Regular</v>
      </c>
    </row>
    <row r="116" spans="1:10" x14ac:dyDescent="0.35">
      <c r="A116" t="s">
        <v>363</v>
      </c>
      <c r="B116" t="str">
        <f t="shared" ca="1" si="4"/>
        <v>CUST110</v>
      </c>
      <c r="C116" s="1">
        <f t="shared" ca="1" si="5"/>
        <v>45803</v>
      </c>
      <c r="D116" t="s">
        <v>1253</v>
      </c>
      <c r="E116" t="s">
        <v>1258</v>
      </c>
      <c r="F116">
        <f t="shared" ca="1" si="6"/>
        <v>3</v>
      </c>
      <c r="G116">
        <v>90</v>
      </c>
      <c r="H116">
        <f t="shared" ca="1" si="7"/>
        <v>270</v>
      </c>
      <c r="I116" t="s">
        <v>213</v>
      </c>
      <c r="J116" t="str">
        <f ca="1">VLOOKUP(B116,Customer_Data!$A:$D,4,FALSE)</f>
        <v>Regular</v>
      </c>
    </row>
    <row r="117" spans="1:10" x14ac:dyDescent="0.35">
      <c r="A117" t="s">
        <v>364</v>
      </c>
      <c r="B117" t="str">
        <f t="shared" ca="1" si="4"/>
        <v>CUST001</v>
      </c>
      <c r="C117" s="1">
        <f t="shared" ca="1" si="5"/>
        <v>45950</v>
      </c>
      <c r="D117" t="s">
        <v>1251</v>
      </c>
      <c r="E117" t="s">
        <v>1256</v>
      </c>
      <c r="F117">
        <f t="shared" ca="1" si="6"/>
        <v>5</v>
      </c>
      <c r="G117">
        <v>80</v>
      </c>
      <c r="H117">
        <f t="shared" ca="1" si="7"/>
        <v>400</v>
      </c>
      <c r="I117" t="s">
        <v>214</v>
      </c>
      <c r="J117" t="str">
        <f ca="1">VLOOKUP(B117,Customer_Data!$A:$D,4,FALSE)</f>
        <v>Regular</v>
      </c>
    </row>
    <row r="118" spans="1:10" x14ac:dyDescent="0.35">
      <c r="A118" t="s">
        <v>365</v>
      </c>
      <c r="B118" t="str">
        <f t="shared" ca="1" si="4"/>
        <v>CUST138</v>
      </c>
      <c r="C118" s="1">
        <f t="shared" ca="1" si="5"/>
        <v>45905</v>
      </c>
      <c r="D118" t="s">
        <v>1249</v>
      </c>
      <c r="E118" t="s">
        <v>1254</v>
      </c>
      <c r="F118">
        <f t="shared" ca="1" si="6"/>
        <v>9</v>
      </c>
      <c r="G118">
        <v>25</v>
      </c>
      <c r="H118">
        <f t="shared" ca="1" si="7"/>
        <v>225</v>
      </c>
      <c r="I118" t="s">
        <v>212</v>
      </c>
      <c r="J118" t="str">
        <f ca="1">VLOOKUP(B118,Customer_Data!$A:$D,4,FALSE)</f>
        <v>Gold</v>
      </c>
    </row>
    <row r="119" spans="1:10" x14ac:dyDescent="0.35">
      <c r="A119" t="s">
        <v>366</v>
      </c>
      <c r="B119" t="str">
        <f t="shared" ca="1" si="4"/>
        <v>CUST044</v>
      </c>
      <c r="C119" s="1">
        <f t="shared" ca="1" si="5"/>
        <v>45873</v>
      </c>
      <c r="D119" t="s">
        <v>1253</v>
      </c>
      <c r="E119" t="s">
        <v>1258</v>
      </c>
      <c r="F119">
        <f t="shared" ca="1" si="6"/>
        <v>4</v>
      </c>
      <c r="G119">
        <v>90</v>
      </c>
      <c r="H119">
        <f t="shared" ca="1" si="7"/>
        <v>360</v>
      </c>
      <c r="I119" t="s">
        <v>211</v>
      </c>
      <c r="J119" t="str">
        <f ca="1">VLOOKUP(B119,Customer_Data!$A:$D,4,FALSE)</f>
        <v>Regular</v>
      </c>
    </row>
    <row r="120" spans="1:10" x14ac:dyDescent="0.35">
      <c r="A120" t="s">
        <v>367</v>
      </c>
      <c r="B120" t="str">
        <f t="shared" ca="1" si="4"/>
        <v>CUST072</v>
      </c>
      <c r="C120" s="1">
        <f t="shared" ca="1" si="5"/>
        <v>45729</v>
      </c>
      <c r="D120" t="s">
        <v>1249</v>
      </c>
      <c r="E120" t="s">
        <v>1254</v>
      </c>
      <c r="F120">
        <f t="shared" ca="1" si="6"/>
        <v>2</v>
      </c>
      <c r="G120">
        <v>25</v>
      </c>
      <c r="H120">
        <f t="shared" ca="1" si="7"/>
        <v>50</v>
      </c>
      <c r="I120" t="s">
        <v>211</v>
      </c>
      <c r="J120" t="str">
        <f ca="1">VLOOKUP(B120,Customer_Data!$A:$D,4,FALSE)</f>
        <v>Regular</v>
      </c>
    </row>
    <row r="121" spans="1:10" x14ac:dyDescent="0.35">
      <c r="A121" t="s">
        <v>368</v>
      </c>
      <c r="B121" t="str">
        <f t="shared" ca="1" si="4"/>
        <v>CUST122</v>
      </c>
      <c r="C121" s="1">
        <f t="shared" ca="1" si="5"/>
        <v>45821</v>
      </c>
      <c r="D121" t="s">
        <v>1250</v>
      </c>
      <c r="E121" t="s">
        <v>1255</v>
      </c>
      <c r="F121">
        <f t="shared" ca="1" si="6"/>
        <v>9</v>
      </c>
      <c r="G121">
        <v>60</v>
      </c>
      <c r="H121">
        <f t="shared" ca="1" si="7"/>
        <v>540</v>
      </c>
      <c r="I121" t="s">
        <v>213</v>
      </c>
      <c r="J121" t="str">
        <f ca="1">VLOOKUP(B121,Customer_Data!$A:$D,4,FALSE)</f>
        <v>Regular</v>
      </c>
    </row>
    <row r="122" spans="1:10" x14ac:dyDescent="0.35">
      <c r="A122" t="s">
        <v>369</v>
      </c>
      <c r="B122" t="str">
        <f t="shared" ca="1" si="4"/>
        <v>CUST166</v>
      </c>
      <c r="C122" s="1">
        <f t="shared" ca="1" si="5"/>
        <v>45700</v>
      </c>
      <c r="D122" t="s">
        <v>1252</v>
      </c>
      <c r="E122" t="s">
        <v>1257</v>
      </c>
      <c r="F122">
        <f t="shared" ca="1" si="6"/>
        <v>5</v>
      </c>
      <c r="G122">
        <v>120</v>
      </c>
      <c r="H122">
        <f t="shared" ca="1" si="7"/>
        <v>600</v>
      </c>
      <c r="I122" t="s">
        <v>214</v>
      </c>
      <c r="J122" t="str">
        <f ca="1">VLOOKUP(B122,Customer_Data!$A:$D,4,FALSE)</f>
        <v>Regular</v>
      </c>
    </row>
    <row r="123" spans="1:10" x14ac:dyDescent="0.35">
      <c r="A123" t="s">
        <v>370</v>
      </c>
      <c r="B123" t="str">
        <f t="shared" ca="1" si="4"/>
        <v>CUST056</v>
      </c>
      <c r="C123" s="1">
        <f t="shared" ca="1" si="5"/>
        <v>45961</v>
      </c>
      <c r="D123" t="s">
        <v>1253</v>
      </c>
      <c r="E123" t="s">
        <v>1258</v>
      </c>
      <c r="F123">
        <f t="shared" ca="1" si="6"/>
        <v>7</v>
      </c>
      <c r="G123">
        <v>90</v>
      </c>
      <c r="H123">
        <f t="shared" ca="1" si="7"/>
        <v>630</v>
      </c>
      <c r="I123" t="s">
        <v>211</v>
      </c>
      <c r="J123" t="str">
        <f ca="1">VLOOKUP(B123,Customer_Data!$A:$D,4,FALSE)</f>
        <v>Silver</v>
      </c>
    </row>
    <row r="124" spans="1:10" x14ac:dyDescent="0.35">
      <c r="A124" t="s">
        <v>371</v>
      </c>
      <c r="B124" t="str">
        <f t="shared" ca="1" si="4"/>
        <v>CUST056</v>
      </c>
      <c r="C124" s="1">
        <f t="shared" ca="1" si="5"/>
        <v>45940</v>
      </c>
      <c r="D124" t="s">
        <v>1251</v>
      </c>
      <c r="E124" t="s">
        <v>1256</v>
      </c>
      <c r="F124">
        <f t="shared" ca="1" si="6"/>
        <v>3</v>
      </c>
      <c r="G124">
        <v>80</v>
      </c>
      <c r="H124">
        <f t="shared" ca="1" si="7"/>
        <v>240</v>
      </c>
      <c r="I124" t="s">
        <v>214</v>
      </c>
      <c r="J124" t="str">
        <f ca="1">VLOOKUP(B124,Customer_Data!$A:$D,4,FALSE)</f>
        <v>Silver</v>
      </c>
    </row>
    <row r="125" spans="1:10" x14ac:dyDescent="0.35">
      <c r="A125" t="s">
        <v>372</v>
      </c>
      <c r="B125" t="str">
        <f t="shared" ca="1" si="4"/>
        <v>CUST149</v>
      </c>
      <c r="C125" s="1">
        <f t="shared" ca="1" si="5"/>
        <v>45856</v>
      </c>
      <c r="D125" t="s">
        <v>1251</v>
      </c>
      <c r="E125" t="s">
        <v>1256</v>
      </c>
      <c r="F125">
        <f t="shared" ca="1" si="6"/>
        <v>1</v>
      </c>
      <c r="G125">
        <v>80</v>
      </c>
      <c r="H125">
        <f t="shared" ca="1" si="7"/>
        <v>80</v>
      </c>
      <c r="I125" t="s">
        <v>213</v>
      </c>
      <c r="J125" t="str">
        <f ca="1">VLOOKUP(B125,Customer_Data!$A:$D,4,FALSE)</f>
        <v>Regular</v>
      </c>
    </row>
    <row r="126" spans="1:10" x14ac:dyDescent="0.35">
      <c r="A126" t="s">
        <v>373</v>
      </c>
      <c r="B126" t="str">
        <f t="shared" ca="1" si="4"/>
        <v>CUST113</v>
      </c>
      <c r="C126" s="1">
        <f t="shared" ca="1" si="5"/>
        <v>45661</v>
      </c>
      <c r="D126" t="s">
        <v>1252</v>
      </c>
      <c r="E126" t="s">
        <v>1257</v>
      </c>
      <c r="F126">
        <f t="shared" ca="1" si="6"/>
        <v>2</v>
      </c>
      <c r="G126">
        <v>120</v>
      </c>
      <c r="H126">
        <f t="shared" ca="1" si="7"/>
        <v>240</v>
      </c>
      <c r="I126" t="s">
        <v>211</v>
      </c>
      <c r="J126" t="str">
        <f ca="1">VLOOKUP(B126,Customer_Data!$A:$D,4,FALSE)</f>
        <v>Silver</v>
      </c>
    </row>
    <row r="127" spans="1:10" x14ac:dyDescent="0.35">
      <c r="A127" t="s">
        <v>374</v>
      </c>
      <c r="B127" t="str">
        <f t="shared" ca="1" si="4"/>
        <v>CUST031</v>
      </c>
      <c r="C127" s="1">
        <f t="shared" ca="1" si="5"/>
        <v>45850</v>
      </c>
      <c r="D127" t="s">
        <v>1252</v>
      </c>
      <c r="E127" t="s">
        <v>1257</v>
      </c>
      <c r="F127">
        <f t="shared" ca="1" si="6"/>
        <v>10</v>
      </c>
      <c r="G127">
        <v>120</v>
      </c>
      <c r="H127">
        <f t="shared" ca="1" si="7"/>
        <v>1200</v>
      </c>
      <c r="I127" t="s">
        <v>212</v>
      </c>
      <c r="J127" t="str">
        <f ca="1">VLOOKUP(B127,Customer_Data!$A:$D,4,FALSE)</f>
        <v>Regular</v>
      </c>
    </row>
    <row r="128" spans="1:10" x14ac:dyDescent="0.35">
      <c r="A128" t="s">
        <v>375</v>
      </c>
      <c r="B128" t="str">
        <f t="shared" ca="1" si="4"/>
        <v>CUST166</v>
      </c>
      <c r="C128" s="1">
        <f t="shared" ca="1" si="5"/>
        <v>45962</v>
      </c>
      <c r="D128" t="s">
        <v>1250</v>
      </c>
      <c r="E128" t="s">
        <v>1255</v>
      </c>
      <c r="F128">
        <f t="shared" ca="1" si="6"/>
        <v>10</v>
      </c>
      <c r="G128">
        <v>60</v>
      </c>
      <c r="H128">
        <f t="shared" ca="1" si="7"/>
        <v>600</v>
      </c>
      <c r="I128" t="s">
        <v>214</v>
      </c>
      <c r="J128" t="str">
        <f ca="1">VLOOKUP(B128,Customer_Data!$A:$D,4,FALSE)</f>
        <v>Regular</v>
      </c>
    </row>
    <row r="129" spans="1:10" x14ac:dyDescent="0.35">
      <c r="A129" t="s">
        <v>376</v>
      </c>
      <c r="B129" t="str">
        <f t="shared" ca="1" si="4"/>
        <v>CUST008</v>
      </c>
      <c r="C129" s="1">
        <f t="shared" ca="1" si="5"/>
        <v>45822</v>
      </c>
      <c r="D129" t="s">
        <v>1250</v>
      </c>
      <c r="E129" t="s">
        <v>1255</v>
      </c>
      <c r="F129">
        <f t="shared" ca="1" si="6"/>
        <v>3</v>
      </c>
      <c r="G129">
        <v>60</v>
      </c>
      <c r="H129">
        <f t="shared" ca="1" si="7"/>
        <v>180</v>
      </c>
      <c r="I129" t="s">
        <v>212</v>
      </c>
      <c r="J129" t="str">
        <f ca="1">VLOOKUP(B129,Customer_Data!$A:$D,4,FALSE)</f>
        <v>Regular</v>
      </c>
    </row>
    <row r="130" spans="1:10" x14ac:dyDescent="0.35">
      <c r="A130" t="s">
        <v>377</v>
      </c>
      <c r="B130" t="str">
        <f t="shared" ca="1" si="4"/>
        <v>CUST018</v>
      </c>
      <c r="C130" s="1">
        <f t="shared" ca="1" si="5"/>
        <v>45682</v>
      </c>
      <c r="D130" t="s">
        <v>1249</v>
      </c>
      <c r="E130" t="s">
        <v>1254</v>
      </c>
      <c r="F130">
        <f t="shared" ca="1" si="6"/>
        <v>8</v>
      </c>
      <c r="G130">
        <v>25</v>
      </c>
      <c r="H130">
        <f t="shared" ca="1" si="7"/>
        <v>200</v>
      </c>
      <c r="I130" t="s">
        <v>212</v>
      </c>
      <c r="J130" t="str">
        <f ca="1">VLOOKUP(B130,Customer_Data!$A:$D,4,FALSE)</f>
        <v>Gold</v>
      </c>
    </row>
    <row r="131" spans="1:10" x14ac:dyDescent="0.35">
      <c r="A131" t="s">
        <v>378</v>
      </c>
      <c r="B131" t="str">
        <f t="shared" ref="B131:B194" ca="1" si="8">"CUST"&amp;TEXT(RANDBETWEEN(1,200),"000")</f>
        <v>CUST135</v>
      </c>
      <c r="C131" s="1">
        <f t="shared" ref="C131:C194" ca="1" si="9">DATE(2025,1,1)+RANDBETWEEN(0,364)</f>
        <v>45731</v>
      </c>
      <c r="D131" t="s">
        <v>1252</v>
      </c>
      <c r="E131" t="s">
        <v>1257</v>
      </c>
      <c r="F131">
        <f t="shared" ref="F131:F194" ca="1" si="10">RANDBETWEEN(1,10)</f>
        <v>4</v>
      </c>
      <c r="G131">
        <v>120</v>
      </c>
      <c r="H131">
        <f t="shared" ref="H131:H194" ca="1" si="11">F131*G131</f>
        <v>480</v>
      </c>
      <c r="I131" t="s">
        <v>214</v>
      </c>
      <c r="J131" t="str">
        <f ca="1">VLOOKUP(B131,Customer_Data!$A:$D,4,FALSE)</f>
        <v>Silver</v>
      </c>
    </row>
    <row r="132" spans="1:10" x14ac:dyDescent="0.35">
      <c r="A132" t="s">
        <v>379</v>
      </c>
      <c r="B132" t="str">
        <f t="shared" ca="1" si="8"/>
        <v>CUST047</v>
      </c>
      <c r="C132" s="1">
        <f t="shared" ca="1" si="9"/>
        <v>45957</v>
      </c>
      <c r="D132" t="s">
        <v>1253</v>
      </c>
      <c r="E132" t="s">
        <v>1258</v>
      </c>
      <c r="F132">
        <f t="shared" ca="1" si="10"/>
        <v>1</v>
      </c>
      <c r="G132">
        <v>90</v>
      </c>
      <c r="H132">
        <f t="shared" ca="1" si="11"/>
        <v>90</v>
      </c>
      <c r="I132" t="s">
        <v>211</v>
      </c>
      <c r="J132" t="str">
        <f ca="1">VLOOKUP(B132,Customer_Data!$A:$D,4,FALSE)</f>
        <v>Regular</v>
      </c>
    </row>
    <row r="133" spans="1:10" x14ac:dyDescent="0.35">
      <c r="A133" t="s">
        <v>380</v>
      </c>
      <c r="B133" t="str">
        <f t="shared" ca="1" si="8"/>
        <v>CUST057</v>
      </c>
      <c r="C133" s="1">
        <f t="shared" ca="1" si="9"/>
        <v>45846</v>
      </c>
      <c r="D133" t="s">
        <v>1252</v>
      </c>
      <c r="E133" t="s">
        <v>1257</v>
      </c>
      <c r="F133">
        <f t="shared" ca="1" si="10"/>
        <v>10</v>
      </c>
      <c r="G133">
        <v>120</v>
      </c>
      <c r="H133">
        <f t="shared" ca="1" si="11"/>
        <v>1200</v>
      </c>
      <c r="I133" t="s">
        <v>214</v>
      </c>
      <c r="J133" t="str">
        <f ca="1">VLOOKUP(B133,Customer_Data!$A:$D,4,FALSE)</f>
        <v>Silver</v>
      </c>
    </row>
    <row r="134" spans="1:10" x14ac:dyDescent="0.35">
      <c r="A134" t="s">
        <v>381</v>
      </c>
      <c r="B134" t="str">
        <f t="shared" ca="1" si="8"/>
        <v>CUST133</v>
      </c>
      <c r="C134" s="1">
        <f t="shared" ca="1" si="9"/>
        <v>46014</v>
      </c>
      <c r="D134" t="s">
        <v>1250</v>
      </c>
      <c r="E134" t="s">
        <v>1255</v>
      </c>
      <c r="F134">
        <f t="shared" ca="1" si="10"/>
        <v>8</v>
      </c>
      <c r="G134">
        <v>60</v>
      </c>
      <c r="H134">
        <f t="shared" ca="1" si="11"/>
        <v>480</v>
      </c>
      <c r="I134" t="s">
        <v>214</v>
      </c>
      <c r="J134" t="str">
        <f ca="1">VLOOKUP(B134,Customer_Data!$A:$D,4,FALSE)</f>
        <v>Silver</v>
      </c>
    </row>
    <row r="135" spans="1:10" x14ac:dyDescent="0.35">
      <c r="A135" t="s">
        <v>382</v>
      </c>
      <c r="B135" t="str">
        <f t="shared" ca="1" si="8"/>
        <v>CUST060</v>
      </c>
      <c r="C135" s="1">
        <f t="shared" ca="1" si="9"/>
        <v>45901</v>
      </c>
      <c r="D135" t="s">
        <v>1253</v>
      </c>
      <c r="E135" t="s">
        <v>1258</v>
      </c>
      <c r="F135">
        <f t="shared" ca="1" si="10"/>
        <v>1</v>
      </c>
      <c r="G135">
        <v>90</v>
      </c>
      <c r="H135">
        <f t="shared" ca="1" si="11"/>
        <v>90</v>
      </c>
      <c r="I135" t="s">
        <v>213</v>
      </c>
      <c r="J135" t="str">
        <f ca="1">VLOOKUP(B135,Customer_Data!$A:$D,4,FALSE)</f>
        <v>Gold</v>
      </c>
    </row>
    <row r="136" spans="1:10" x14ac:dyDescent="0.35">
      <c r="A136" t="s">
        <v>383</v>
      </c>
      <c r="B136" t="str">
        <f t="shared" ca="1" si="8"/>
        <v>CUST021</v>
      </c>
      <c r="C136" s="1">
        <f t="shared" ca="1" si="9"/>
        <v>46013</v>
      </c>
      <c r="D136" t="s">
        <v>1249</v>
      </c>
      <c r="E136" t="s">
        <v>1254</v>
      </c>
      <c r="F136">
        <f t="shared" ca="1" si="10"/>
        <v>2</v>
      </c>
      <c r="G136">
        <v>25</v>
      </c>
      <c r="H136">
        <f t="shared" ca="1" si="11"/>
        <v>50</v>
      </c>
      <c r="I136" t="s">
        <v>214</v>
      </c>
      <c r="J136" t="str">
        <f ca="1">VLOOKUP(B136,Customer_Data!$A:$D,4,FALSE)</f>
        <v>Regular</v>
      </c>
    </row>
    <row r="137" spans="1:10" x14ac:dyDescent="0.35">
      <c r="A137" t="s">
        <v>384</v>
      </c>
      <c r="B137" t="str">
        <f t="shared" ca="1" si="8"/>
        <v>CUST190</v>
      </c>
      <c r="C137" s="1">
        <f t="shared" ca="1" si="9"/>
        <v>45754</v>
      </c>
      <c r="D137" t="s">
        <v>1251</v>
      </c>
      <c r="E137" t="s">
        <v>1256</v>
      </c>
      <c r="F137">
        <f t="shared" ca="1" si="10"/>
        <v>1</v>
      </c>
      <c r="G137">
        <v>80</v>
      </c>
      <c r="H137">
        <f t="shared" ca="1" si="11"/>
        <v>80</v>
      </c>
      <c r="I137" t="s">
        <v>214</v>
      </c>
      <c r="J137" t="str">
        <f ca="1">VLOOKUP(B137,Customer_Data!$A:$D,4,FALSE)</f>
        <v>Regular</v>
      </c>
    </row>
    <row r="138" spans="1:10" x14ac:dyDescent="0.35">
      <c r="A138" t="s">
        <v>385</v>
      </c>
      <c r="B138" t="str">
        <f t="shared" ca="1" si="8"/>
        <v>CUST194</v>
      </c>
      <c r="C138" s="1">
        <f t="shared" ca="1" si="9"/>
        <v>45932</v>
      </c>
      <c r="D138" t="s">
        <v>1253</v>
      </c>
      <c r="E138" t="s">
        <v>1258</v>
      </c>
      <c r="F138">
        <f t="shared" ca="1" si="10"/>
        <v>5</v>
      </c>
      <c r="G138">
        <v>90</v>
      </c>
      <c r="H138">
        <f t="shared" ca="1" si="11"/>
        <v>450</v>
      </c>
      <c r="I138" t="s">
        <v>212</v>
      </c>
      <c r="J138" t="str">
        <f ca="1">VLOOKUP(B138,Customer_Data!$A:$D,4,FALSE)</f>
        <v>Silver</v>
      </c>
    </row>
    <row r="139" spans="1:10" x14ac:dyDescent="0.35">
      <c r="A139" t="s">
        <v>386</v>
      </c>
      <c r="B139" t="str">
        <f t="shared" ca="1" si="8"/>
        <v>CUST063</v>
      </c>
      <c r="C139" s="1">
        <f t="shared" ca="1" si="9"/>
        <v>45978</v>
      </c>
      <c r="D139" t="s">
        <v>1249</v>
      </c>
      <c r="E139" t="s">
        <v>1254</v>
      </c>
      <c r="F139">
        <f t="shared" ca="1" si="10"/>
        <v>4</v>
      </c>
      <c r="G139">
        <v>25</v>
      </c>
      <c r="H139">
        <f t="shared" ca="1" si="11"/>
        <v>100</v>
      </c>
      <c r="I139" t="s">
        <v>211</v>
      </c>
      <c r="J139" t="str">
        <f ca="1">VLOOKUP(B139,Customer_Data!$A:$D,4,FALSE)</f>
        <v>Regular</v>
      </c>
    </row>
    <row r="140" spans="1:10" x14ac:dyDescent="0.35">
      <c r="A140" t="s">
        <v>387</v>
      </c>
      <c r="B140" t="str">
        <f t="shared" ca="1" si="8"/>
        <v>CUST200</v>
      </c>
      <c r="C140" s="1">
        <f t="shared" ca="1" si="9"/>
        <v>45705</v>
      </c>
      <c r="D140" t="s">
        <v>1251</v>
      </c>
      <c r="E140" t="s">
        <v>1256</v>
      </c>
      <c r="F140">
        <f t="shared" ca="1" si="10"/>
        <v>2</v>
      </c>
      <c r="G140">
        <v>80</v>
      </c>
      <c r="H140">
        <f t="shared" ca="1" si="11"/>
        <v>160</v>
      </c>
      <c r="I140" t="s">
        <v>214</v>
      </c>
      <c r="J140" t="str">
        <f ca="1">VLOOKUP(B140,Customer_Data!$A:$D,4,FALSE)</f>
        <v>Gold</v>
      </c>
    </row>
    <row r="141" spans="1:10" x14ac:dyDescent="0.35">
      <c r="A141" t="s">
        <v>388</v>
      </c>
      <c r="B141" t="str">
        <f t="shared" ca="1" si="8"/>
        <v>CUST092</v>
      </c>
      <c r="C141" s="1">
        <f t="shared" ca="1" si="9"/>
        <v>45896</v>
      </c>
      <c r="D141" t="s">
        <v>1250</v>
      </c>
      <c r="E141" t="s">
        <v>1255</v>
      </c>
      <c r="F141">
        <f t="shared" ca="1" si="10"/>
        <v>7</v>
      </c>
      <c r="G141">
        <v>60</v>
      </c>
      <c r="H141">
        <f t="shared" ca="1" si="11"/>
        <v>420</v>
      </c>
      <c r="I141" t="s">
        <v>212</v>
      </c>
      <c r="J141" t="str">
        <f ca="1">VLOOKUP(B141,Customer_Data!$A:$D,4,FALSE)</f>
        <v>Regular</v>
      </c>
    </row>
    <row r="142" spans="1:10" x14ac:dyDescent="0.35">
      <c r="A142" t="s">
        <v>389</v>
      </c>
      <c r="B142" t="str">
        <f t="shared" ca="1" si="8"/>
        <v>CUST126</v>
      </c>
      <c r="C142" s="1">
        <f t="shared" ca="1" si="9"/>
        <v>45885</v>
      </c>
      <c r="D142" t="s">
        <v>1253</v>
      </c>
      <c r="E142" t="s">
        <v>1258</v>
      </c>
      <c r="F142">
        <f t="shared" ca="1" si="10"/>
        <v>5</v>
      </c>
      <c r="G142">
        <v>90</v>
      </c>
      <c r="H142">
        <f t="shared" ca="1" si="11"/>
        <v>450</v>
      </c>
      <c r="I142" t="s">
        <v>214</v>
      </c>
      <c r="J142" t="str">
        <f ca="1">VLOOKUP(B142,Customer_Data!$A:$D,4,FALSE)</f>
        <v>Regular</v>
      </c>
    </row>
    <row r="143" spans="1:10" x14ac:dyDescent="0.35">
      <c r="A143" t="s">
        <v>390</v>
      </c>
      <c r="B143" t="str">
        <f t="shared" ca="1" si="8"/>
        <v>CUST008</v>
      </c>
      <c r="C143" s="1">
        <f t="shared" ca="1" si="9"/>
        <v>45792</v>
      </c>
      <c r="D143" t="s">
        <v>1253</v>
      </c>
      <c r="E143" t="s">
        <v>1258</v>
      </c>
      <c r="F143">
        <f t="shared" ca="1" si="10"/>
        <v>5</v>
      </c>
      <c r="G143">
        <v>90</v>
      </c>
      <c r="H143">
        <f t="shared" ca="1" si="11"/>
        <v>450</v>
      </c>
      <c r="I143" t="s">
        <v>213</v>
      </c>
      <c r="J143" t="str">
        <f ca="1">VLOOKUP(B143,Customer_Data!$A:$D,4,FALSE)</f>
        <v>Regular</v>
      </c>
    </row>
    <row r="144" spans="1:10" x14ac:dyDescent="0.35">
      <c r="A144" t="s">
        <v>391</v>
      </c>
      <c r="B144" t="str">
        <f t="shared" ca="1" si="8"/>
        <v>CUST109</v>
      </c>
      <c r="C144" s="1">
        <f t="shared" ca="1" si="9"/>
        <v>45747</v>
      </c>
      <c r="D144" t="s">
        <v>1252</v>
      </c>
      <c r="E144" t="s">
        <v>1257</v>
      </c>
      <c r="F144">
        <f t="shared" ca="1" si="10"/>
        <v>1</v>
      </c>
      <c r="G144">
        <v>120</v>
      </c>
      <c r="H144">
        <f t="shared" ca="1" si="11"/>
        <v>120</v>
      </c>
      <c r="I144" t="s">
        <v>214</v>
      </c>
      <c r="J144" t="str">
        <f ca="1">VLOOKUP(B144,Customer_Data!$A:$D,4,FALSE)</f>
        <v>Regular</v>
      </c>
    </row>
    <row r="145" spans="1:10" x14ac:dyDescent="0.35">
      <c r="A145" t="s">
        <v>392</v>
      </c>
      <c r="B145" t="str">
        <f t="shared" ca="1" si="8"/>
        <v>CUST173</v>
      </c>
      <c r="C145" s="1">
        <f t="shared" ca="1" si="9"/>
        <v>45666</v>
      </c>
      <c r="D145" t="s">
        <v>1253</v>
      </c>
      <c r="E145" t="s">
        <v>1258</v>
      </c>
      <c r="F145">
        <f t="shared" ca="1" si="10"/>
        <v>7</v>
      </c>
      <c r="G145">
        <v>90</v>
      </c>
      <c r="H145">
        <f t="shared" ca="1" si="11"/>
        <v>630</v>
      </c>
      <c r="I145" t="s">
        <v>214</v>
      </c>
      <c r="J145" t="str">
        <f ca="1">VLOOKUP(B145,Customer_Data!$A:$D,4,FALSE)</f>
        <v>Silver</v>
      </c>
    </row>
    <row r="146" spans="1:10" x14ac:dyDescent="0.35">
      <c r="A146" t="s">
        <v>393</v>
      </c>
      <c r="B146" t="str">
        <f t="shared" ca="1" si="8"/>
        <v>CUST027</v>
      </c>
      <c r="C146" s="1">
        <f t="shared" ca="1" si="9"/>
        <v>45839</v>
      </c>
      <c r="D146" t="s">
        <v>1252</v>
      </c>
      <c r="E146" t="s">
        <v>1257</v>
      </c>
      <c r="F146">
        <f t="shared" ca="1" si="10"/>
        <v>5</v>
      </c>
      <c r="G146">
        <v>120</v>
      </c>
      <c r="H146">
        <f t="shared" ca="1" si="11"/>
        <v>600</v>
      </c>
      <c r="I146" t="s">
        <v>211</v>
      </c>
      <c r="J146" t="str">
        <f ca="1">VLOOKUP(B146,Customer_Data!$A:$D,4,FALSE)</f>
        <v>Regular</v>
      </c>
    </row>
    <row r="147" spans="1:10" x14ac:dyDescent="0.35">
      <c r="A147" t="s">
        <v>394</v>
      </c>
      <c r="B147" t="str">
        <f t="shared" ca="1" si="8"/>
        <v>CUST108</v>
      </c>
      <c r="C147" s="1">
        <f t="shared" ca="1" si="9"/>
        <v>45725</v>
      </c>
      <c r="D147" t="s">
        <v>1251</v>
      </c>
      <c r="E147" t="s">
        <v>1256</v>
      </c>
      <c r="F147">
        <f t="shared" ca="1" si="10"/>
        <v>2</v>
      </c>
      <c r="G147">
        <v>80</v>
      </c>
      <c r="H147">
        <f t="shared" ca="1" si="11"/>
        <v>160</v>
      </c>
      <c r="I147" t="s">
        <v>213</v>
      </c>
      <c r="J147" t="str">
        <f ca="1">VLOOKUP(B147,Customer_Data!$A:$D,4,FALSE)</f>
        <v>Regular</v>
      </c>
    </row>
    <row r="148" spans="1:10" x14ac:dyDescent="0.35">
      <c r="A148" t="s">
        <v>395</v>
      </c>
      <c r="B148" t="str">
        <f t="shared" ca="1" si="8"/>
        <v>CUST181</v>
      </c>
      <c r="C148" s="1">
        <f t="shared" ca="1" si="9"/>
        <v>45868</v>
      </c>
      <c r="D148" t="s">
        <v>1251</v>
      </c>
      <c r="E148" t="s">
        <v>1256</v>
      </c>
      <c r="F148">
        <f t="shared" ca="1" si="10"/>
        <v>8</v>
      </c>
      <c r="G148">
        <v>80</v>
      </c>
      <c r="H148">
        <f t="shared" ca="1" si="11"/>
        <v>640</v>
      </c>
      <c r="I148" t="s">
        <v>213</v>
      </c>
      <c r="J148" t="str">
        <f ca="1">VLOOKUP(B148,Customer_Data!$A:$D,4,FALSE)</f>
        <v>Regular</v>
      </c>
    </row>
    <row r="149" spans="1:10" x14ac:dyDescent="0.35">
      <c r="A149" t="s">
        <v>396</v>
      </c>
      <c r="B149" t="str">
        <f t="shared" ca="1" si="8"/>
        <v>CUST157</v>
      </c>
      <c r="C149" s="1">
        <f t="shared" ca="1" si="9"/>
        <v>45810</v>
      </c>
      <c r="D149" t="s">
        <v>1253</v>
      </c>
      <c r="E149" t="s">
        <v>1258</v>
      </c>
      <c r="F149">
        <f t="shared" ca="1" si="10"/>
        <v>9</v>
      </c>
      <c r="G149">
        <v>90</v>
      </c>
      <c r="H149">
        <f t="shared" ca="1" si="11"/>
        <v>810</v>
      </c>
      <c r="I149" t="s">
        <v>211</v>
      </c>
      <c r="J149" t="str">
        <f ca="1">VLOOKUP(B149,Customer_Data!$A:$D,4,FALSE)</f>
        <v>Silver</v>
      </c>
    </row>
    <row r="150" spans="1:10" x14ac:dyDescent="0.35">
      <c r="A150" t="s">
        <v>397</v>
      </c>
      <c r="B150" t="str">
        <f t="shared" ca="1" si="8"/>
        <v>CUST130</v>
      </c>
      <c r="C150" s="1">
        <f t="shared" ca="1" si="9"/>
        <v>45659</v>
      </c>
      <c r="D150" t="s">
        <v>1251</v>
      </c>
      <c r="E150" t="s">
        <v>1256</v>
      </c>
      <c r="F150">
        <f t="shared" ca="1" si="10"/>
        <v>4</v>
      </c>
      <c r="G150">
        <v>80</v>
      </c>
      <c r="H150">
        <f t="shared" ca="1" si="11"/>
        <v>320</v>
      </c>
      <c r="I150" t="s">
        <v>214</v>
      </c>
      <c r="J150" t="str">
        <f ca="1">VLOOKUP(B150,Customer_Data!$A:$D,4,FALSE)</f>
        <v>Regular</v>
      </c>
    </row>
    <row r="151" spans="1:10" x14ac:dyDescent="0.35">
      <c r="A151" t="s">
        <v>398</v>
      </c>
      <c r="B151" t="str">
        <f t="shared" ca="1" si="8"/>
        <v>CUST191</v>
      </c>
      <c r="C151" s="1">
        <f t="shared" ca="1" si="9"/>
        <v>45909</v>
      </c>
      <c r="D151" t="s">
        <v>1251</v>
      </c>
      <c r="E151" t="s">
        <v>1256</v>
      </c>
      <c r="F151">
        <f t="shared" ca="1" si="10"/>
        <v>5</v>
      </c>
      <c r="G151">
        <v>80</v>
      </c>
      <c r="H151">
        <f t="shared" ca="1" si="11"/>
        <v>400</v>
      </c>
      <c r="I151" t="s">
        <v>212</v>
      </c>
      <c r="J151" t="str">
        <f ca="1">VLOOKUP(B151,Customer_Data!$A:$D,4,FALSE)</f>
        <v>Regular</v>
      </c>
    </row>
    <row r="152" spans="1:10" x14ac:dyDescent="0.35">
      <c r="A152" t="s">
        <v>399</v>
      </c>
      <c r="B152" t="str">
        <f t="shared" ca="1" si="8"/>
        <v>CUST028</v>
      </c>
      <c r="C152" s="1">
        <f t="shared" ca="1" si="9"/>
        <v>45901</v>
      </c>
      <c r="D152" t="s">
        <v>1250</v>
      </c>
      <c r="E152" t="s">
        <v>1255</v>
      </c>
      <c r="F152">
        <f t="shared" ca="1" si="10"/>
        <v>6</v>
      </c>
      <c r="G152">
        <v>60</v>
      </c>
      <c r="H152">
        <f t="shared" ca="1" si="11"/>
        <v>360</v>
      </c>
      <c r="I152" t="s">
        <v>212</v>
      </c>
      <c r="J152" t="str">
        <f ca="1">VLOOKUP(B152,Customer_Data!$A:$D,4,FALSE)</f>
        <v>Regular</v>
      </c>
    </row>
    <row r="153" spans="1:10" x14ac:dyDescent="0.35">
      <c r="A153" t="s">
        <v>400</v>
      </c>
      <c r="B153" t="str">
        <f t="shared" ca="1" si="8"/>
        <v>CUST041</v>
      </c>
      <c r="C153" s="1">
        <f t="shared" ca="1" si="9"/>
        <v>45839</v>
      </c>
      <c r="D153" t="s">
        <v>1251</v>
      </c>
      <c r="E153" t="s">
        <v>1256</v>
      </c>
      <c r="F153">
        <f t="shared" ca="1" si="10"/>
        <v>5</v>
      </c>
      <c r="G153">
        <v>80</v>
      </c>
      <c r="H153">
        <f t="shared" ca="1" si="11"/>
        <v>400</v>
      </c>
      <c r="I153" t="s">
        <v>214</v>
      </c>
      <c r="J153" t="str">
        <f ca="1">VLOOKUP(B153,Customer_Data!$A:$D,4,FALSE)</f>
        <v>Regular</v>
      </c>
    </row>
    <row r="154" spans="1:10" x14ac:dyDescent="0.35">
      <c r="A154" t="s">
        <v>401</v>
      </c>
      <c r="B154" t="str">
        <f t="shared" ca="1" si="8"/>
        <v>CUST160</v>
      </c>
      <c r="C154" s="1">
        <f t="shared" ca="1" si="9"/>
        <v>45915</v>
      </c>
      <c r="D154" t="s">
        <v>1249</v>
      </c>
      <c r="E154" t="s">
        <v>1254</v>
      </c>
      <c r="F154">
        <f t="shared" ca="1" si="10"/>
        <v>1</v>
      </c>
      <c r="G154">
        <v>25</v>
      </c>
      <c r="H154">
        <f t="shared" ca="1" si="11"/>
        <v>25</v>
      </c>
      <c r="I154" t="s">
        <v>214</v>
      </c>
      <c r="J154" t="str">
        <f ca="1">VLOOKUP(B154,Customer_Data!$A:$D,4,FALSE)</f>
        <v>Gold</v>
      </c>
    </row>
    <row r="155" spans="1:10" x14ac:dyDescent="0.35">
      <c r="A155" t="s">
        <v>402</v>
      </c>
      <c r="B155" t="str">
        <f t="shared" ca="1" si="8"/>
        <v>CUST070</v>
      </c>
      <c r="C155" s="1">
        <f t="shared" ca="1" si="9"/>
        <v>45966</v>
      </c>
      <c r="D155" t="s">
        <v>1253</v>
      </c>
      <c r="E155" t="s">
        <v>1258</v>
      </c>
      <c r="F155">
        <f t="shared" ca="1" si="10"/>
        <v>3</v>
      </c>
      <c r="G155">
        <v>90</v>
      </c>
      <c r="H155">
        <f t="shared" ca="1" si="11"/>
        <v>270</v>
      </c>
      <c r="I155" t="s">
        <v>212</v>
      </c>
      <c r="J155" t="str">
        <f ca="1">VLOOKUP(B155,Customer_Data!$A:$D,4,FALSE)</f>
        <v>Regular</v>
      </c>
    </row>
    <row r="156" spans="1:10" x14ac:dyDescent="0.35">
      <c r="A156" t="s">
        <v>403</v>
      </c>
      <c r="B156" t="str">
        <f t="shared" ca="1" si="8"/>
        <v>CUST166</v>
      </c>
      <c r="C156" s="1">
        <f t="shared" ca="1" si="9"/>
        <v>45867</v>
      </c>
      <c r="D156" t="s">
        <v>1251</v>
      </c>
      <c r="E156" t="s">
        <v>1256</v>
      </c>
      <c r="F156">
        <f t="shared" ca="1" si="10"/>
        <v>1</v>
      </c>
      <c r="G156">
        <v>80</v>
      </c>
      <c r="H156">
        <f t="shared" ca="1" si="11"/>
        <v>80</v>
      </c>
      <c r="I156" t="s">
        <v>211</v>
      </c>
      <c r="J156" t="str">
        <f ca="1">VLOOKUP(B156,Customer_Data!$A:$D,4,FALSE)</f>
        <v>Regular</v>
      </c>
    </row>
    <row r="157" spans="1:10" x14ac:dyDescent="0.35">
      <c r="A157" t="s">
        <v>404</v>
      </c>
      <c r="B157" t="str">
        <f t="shared" ca="1" si="8"/>
        <v>CUST017</v>
      </c>
      <c r="C157" s="1">
        <f t="shared" ca="1" si="9"/>
        <v>45941</v>
      </c>
      <c r="D157" t="s">
        <v>1249</v>
      </c>
      <c r="E157" t="s">
        <v>1254</v>
      </c>
      <c r="F157">
        <f t="shared" ca="1" si="10"/>
        <v>9</v>
      </c>
      <c r="G157">
        <v>25</v>
      </c>
      <c r="H157">
        <f t="shared" ca="1" si="11"/>
        <v>225</v>
      </c>
      <c r="I157" t="s">
        <v>211</v>
      </c>
      <c r="J157" t="str">
        <f ca="1">VLOOKUP(B157,Customer_Data!$A:$D,4,FALSE)</f>
        <v>Silver</v>
      </c>
    </row>
    <row r="158" spans="1:10" x14ac:dyDescent="0.35">
      <c r="A158" t="s">
        <v>405</v>
      </c>
      <c r="B158" t="str">
        <f t="shared" ca="1" si="8"/>
        <v>CUST016</v>
      </c>
      <c r="C158" s="1">
        <f t="shared" ca="1" si="9"/>
        <v>46007</v>
      </c>
      <c r="D158" t="s">
        <v>1251</v>
      </c>
      <c r="E158" t="s">
        <v>1256</v>
      </c>
      <c r="F158">
        <f t="shared" ca="1" si="10"/>
        <v>2</v>
      </c>
      <c r="G158">
        <v>80</v>
      </c>
      <c r="H158">
        <f t="shared" ca="1" si="11"/>
        <v>160</v>
      </c>
      <c r="I158" t="s">
        <v>212</v>
      </c>
      <c r="J158" t="str">
        <f ca="1">VLOOKUP(B158,Customer_Data!$A:$D,4,FALSE)</f>
        <v>Silver</v>
      </c>
    </row>
    <row r="159" spans="1:10" x14ac:dyDescent="0.35">
      <c r="A159" t="s">
        <v>406</v>
      </c>
      <c r="B159" t="str">
        <f t="shared" ca="1" si="8"/>
        <v>CUST063</v>
      </c>
      <c r="C159" s="1">
        <f t="shared" ca="1" si="9"/>
        <v>45861</v>
      </c>
      <c r="D159" t="s">
        <v>1250</v>
      </c>
      <c r="E159" t="s">
        <v>1255</v>
      </c>
      <c r="F159">
        <f t="shared" ca="1" si="10"/>
        <v>8</v>
      </c>
      <c r="G159">
        <v>60</v>
      </c>
      <c r="H159">
        <f t="shared" ca="1" si="11"/>
        <v>480</v>
      </c>
      <c r="I159" t="s">
        <v>212</v>
      </c>
      <c r="J159" t="str">
        <f ca="1">VLOOKUP(B159,Customer_Data!$A:$D,4,FALSE)</f>
        <v>Regular</v>
      </c>
    </row>
    <row r="160" spans="1:10" x14ac:dyDescent="0.35">
      <c r="A160" t="s">
        <v>407</v>
      </c>
      <c r="B160" t="str">
        <f t="shared" ca="1" si="8"/>
        <v>CUST134</v>
      </c>
      <c r="C160" s="1">
        <f t="shared" ca="1" si="9"/>
        <v>45888</v>
      </c>
      <c r="D160" t="s">
        <v>1251</v>
      </c>
      <c r="E160" t="s">
        <v>1256</v>
      </c>
      <c r="F160">
        <f t="shared" ca="1" si="10"/>
        <v>7</v>
      </c>
      <c r="G160">
        <v>80</v>
      </c>
      <c r="H160">
        <f t="shared" ca="1" si="11"/>
        <v>560</v>
      </c>
      <c r="I160" t="s">
        <v>213</v>
      </c>
      <c r="J160" t="str">
        <f ca="1">VLOOKUP(B160,Customer_Data!$A:$D,4,FALSE)</f>
        <v>Silver</v>
      </c>
    </row>
    <row r="161" spans="1:10" x14ac:dyDescent="0.35">
      <c r="A161" t="s">
        <v>408</v>
      </c>
      <c r="B161" t="str">
        <f t="shared" ca="1" si="8"/>
        <v>CUST023</v>
      </c>
      <c r="C161" s="1">
        <f t="shared" ca="1" si="9"/>
        <v>45667</v>
      </c>
      <c r="D161" t="s">
        <v>1253</v>
      </c>
      <c r="E161" t="s">
        <v>1258</v>
      </c>
      <c r="F161">
        <f t="shared" ca="1" si="10"/>
        <v>8</v>
      </c>
      <c r="G161">
        <v>90</v>
      </c>
      <c r="H161">
        <f t="shared" ca="1" si="11"/>
        <v>720</v>
      </c>
      <c r="I161" t="s">
        <v>214</v>
      </c>
      <c r="J161" t="str">
        <f ca="1">VLOOKUP(B161,Customer_Data!$A:$D,4,FALSE)</f>
        <v>Regular</v>
      </c>
    </row>
    <row r="162" spans="1:10" x14ac:dyDescent="0.35">
      <c r="A162" t="s">
        <v>409</v>
      </c>
      <c r="B162" t="str">
        <f t="shared" ca="1" si="8"/>
        <v>CUST026</v>
      </c>
      <c r="C162" s="1">
        <f t="shared" ca="1" si="9"/>
        <v>45931</v>
      </c>
      <c r="D162" t="s">
        <v>1252</v>
      </c>
      <c r="E162" t="s">
        <v>1257</v>
      </c>
      <c r="F162">
        <f t="shared" ca="1" si="10"/>
        <v>7</v>
      </c>
      <c r="G162">
        <v>120</v>
      </c>
      <c r="H162">
        <f t="shared" ca="1" si="11"/>
        <v>840</v>
      </c>
      <c r="I162" t="s">
        <v>214</v>
      </c>
      <c r="J162" t="str">
        <f ca="1">VLOOKUP(B162,Customer_Data!$A:$D,4,FALSE)</f>
        <v>Regular</v>
      </c>
    </row>
    <row r="163" spans="1:10" x14ac:dyDescent="0.35">
      <c r="A163" t="s">
        <v>410</v>
      </c>
      <c r="B163" t="str">
        <f t="shared" ca="1" si="8"/>
        <v>CUST174</v>
      </c>
      <c r="C163" s="1">
        <f t="shared" ca="1" si="9"/>
        <v>45791</v>
      </c>
      <c r="D163" t="s">
        <v>1253</v>
      </c>
      <c r="E163" t="s">
        <v>1258</v>
      </c>
      <c r="F163">
        <f t="shared" ca="1" si="10"/>
        <v>7</v>
      </c>
      <c r="G163">
        <v>90</v>
      </c>
      <c r="H163">
        <f t="shared" ca="1" si="11"/>
        <v>630</v>
      </c>
      <c r="I163" t="s">
        <v>214</v>
      </c>
      <c r="J163" t="str">
        <f ca="1">VLOOKUP(B163,Customer_Data!$A:$D,4,FALSE)</f>
        <v>Silver</v>
      </c>
    </row>
    <row r="164" spans="1:10" x14ac:dyDescent="0.35">
      <c r="A164" t="s">
        <v>411</v>
      </c>
      <c r="B164" t="str">
        <f t="shared" ca="1" si="8"/>
        <v>CUST122</v>
      </c>
      <c r="C164" s="1">
        <f t="shared" ca="1" si="9"/>
        <v>45663</v>
      </c>
      <c r="D164" t="s">
        <v>1250</v>
      </c>
      <c r="E164" t="s">
        <v>1255</v>
      </c>
      <c r="F164">
        <f t="shared" ca="1" si="10"/>
        <v>1</v>
      </c>
      <c r="G164">
        <v>60</v>
      </c>
      <c r="H164">
        <f t="shared" ca="1" si="11"/>
        <v>60</v>
      </c>
      <c r="I164" t="s">
        <v>214</v>
      </c>
      <c r="J164" t="str">
        <f ca="1">VLOOKUP(B164,Customer_Data!$A:$D,4,FALSE)</f>
        <v>Regular</v>
      </c>
    </row>
    <row r="165" spans="1:10" x14ac:dyDescent="0.35">
      <c r="A165" t="s">
        <v>412</v>
      </c>
      <c r="B165" t="str">
        <f t="shared" ca="1" si="8"/>
        <v>CUST177</v>
      </c>
      <c r="C165" s="1">
        <f t="shared" ca="1" si="9"/>
        <v>45927</v>
      </c>
      <c r="D165" t="s">
        <v>1253</v>
      </c>
      <c r="E165" t="s">
        <v>1258</v>
      </c>
      <c r="F165">
        <f t="shared" ca="1" si="10"/>
        <v>9</v>
      </c>
      <c r="G165">
        <v>90</v>
      </c>
      <c r="H165">
        <f t="shared" ca="1" si="11"/>
        <v>810</v>
      </c>
      <c r="I165" t="s">
        <v>211</v>
      </c>
      <c r="J165" t="str">
        <f ca="1">VLOOKUP(B165,Customer_Data!$A:$D,4,FALSE)</f>
        <v>Silver</v>
      </c>
    </row>
    <row r="166" spans="1:10" x14ac:dyDescent="0.35">
      <c r="A166" t="s">
        <v>413</v>
      </c>
      <c r="B166" t="str">
        <f t="shared" ca="1" si="8"/>
        <v>CUST117</v>
      </c>
      <c r="C166" s="1">
        <f t="shared" ca="1" si="9"/>
        <v>45904</v>
      </c>
      <c r="D166" t="s">
        <v>1253</v>
      </c>
      <c r="E166" t="s">
        <v>1258</v>
      </c>
      <c r="F166">
        <f t="shared" ca="1" si="10"/>
        <v>1</v>
      </c>
      <c r="G166">
        <v>90</v>
      </c>
      <c r="H166">
        <f t="shared" ca="1" si="11"/>
        <v>90</v>
      </c>
      <c r="I166" t="s">
        <v>212</v>
      </c>
      <c r="J166" t="str">
        <f ca="1">VLOOKUP(B166,Customer_Data!$A:$D,4,FALSE)</f>
        <v>Silver</v>
      </c>
    </row>
    <row r="167" spans="1:10" x14ac:dyDescent="0.35">
      <c r="A167" t="s">
        <v>414</v>
      </c>
      <c r="B167" t="str">
        <f t="shared" ca="1" si="8"/>
        <v>CUST027</v>
      </c>
      <c r="C167" s="1">
        <f t="shared" ca="1" si="9"/>
        <v>45801</v>
      </c>
      <c r="D167" t="s">
        <v>1253</v>
      </c>
      <c r="E167" t="s">
        <v>1258</v>
      </c>
      <c r="F167">
        <f t="shared" ca="1" si="10"/>
        <v>6</v>
      </c>
      <c r="G167">
        <v>90</v>
      </c>
      <c r="H167">
        <f t="shared" ca="1" si="11"/>
        <v>540</v>
      </c>
      <c r="I167" t="s">
        <v>211</v>
      </c>
      <c r="J167" t="str">
        <f ca="1">VLOOKUP(B167,Customer_Data!$A:$D,4,FALSE)</f>
        <v>Regular</v>
      </c>
    </row>
    <row r="168" spans="1:10" x14ac:dyDescent="0.35">
      <c r="A168" t="s">
        <v>415</v>
      </c>
      <c r="B168" t="str">
        <f t="shared" ca="1" si="8"/>
        <v>CUST068</v>
      </c>
      <c r="C168" s="1">
        <f t="shared" ca="1" si="9"/>
        <v>45751</v>
      </c>
      <c r="D168" t="s">
        <v>1250</v>
      </c>
      <c r="E168" t="s">
        <v>1255</v>
      </c>
      <c r="F168">
        <f t="shared" ca="1" si="10"/>
        <v>7</v>
      </c>
      <c r="G168">
        <v>60</v>
      </c>
      <c r="H168">
        <f t="shared" ca="1" si="11"/>
        <v>420</v>
      </c>
      <c r="I168" t="s">
        <v>211</v>
      </c>
      <c r="J168" t="str">
        <f ca="1">VLOOKUP(B168,Customer_Data!$A:$D,4,FALSE)</f>
        <v>Regular</v>
      </c>
    </row>
    <row r="169" spans="1:10" x14ac:dyDescent="0.35">
      <c r="A169" t="s">
        <v>416</v>
      </c>
      <c r="B169" t="str">
        <f t="shared" ca="1" si="8"/>
        <v>CUST177</v>
      </c>
      <c r="C169" s="1">
        <f t="shared" ca="1" si="9"/>
        <v>45728</v>
      </c>
      <c r="D169" t="s">
        <v>1250</v>
      </c>
      <c r="E169" t="s">
        <v>1255</v>
      </c>
      <c r="F169">
        <f t="shared" ca="1" si="10"/>
        <v>7</v>
      </c>
      <c r="G169">
        <v>60</v>
      </c>
      <c r="H169">
        <f t="shared" ca="1" si="11"/>
        <v>420</v>
      </c>
      <c r="I169" t="s">
        <v>214</v>
      </c>
      <c r="J169" t="str">
        <f ca="1">VLOOKUP(B169,Customer_Data!$A:$D,4,FALSE)</f>
        <v>Silver</v>
      </c>
    </row>
    <row r="170" spans="1:10" x14ac:dyDescent="0.35">
      <c r="A170" t="s">
        <v>417</v>
      </c>
      <c r="B170" t="str">
        <f t="shared" ca="1" si="8"/>
        <v>CUST002</v>
      </c>
      <c r="C170" s="1">
        <f t="shared" ca="1" si="9"/>
        <v>45789</v>
      </c>
      <c r="D170" t="s">
        <v>1252</v>
      </c>
      <c r="E170" t="s">
        <v>1257</v>
      </c>
      <c r="F170">
        <f t="shared" ca="1" si="10"/>
        <v>9</v>
      </c>
      <c r="G170">
        <v>120</v>
      </c>
      <c r="H170">
        <f t="shared" ca="1" si="11"/>
        <v>1080</v>
      </c>
      <c r="I170" t="s">
        <v>214</v>
      </c>
      <c r="J170" t="str">
        <f ca="1">VLOOKUP(B170,Customer_Data!$A:$D,4,FALSE)</f>
        <v>Regular</v>
      </c>
    </row>
    <row r="171" spans="1:10" x14ac:dyDescent="0.35">
      <c r="A171" t="s">
        <v>418</v>
      </c>
      <c r="B171" t="str">
        <f t="shared" ca="1" si="8"/>
        <v>CUST057</v>
      </c>
      <c r="C171" s="1">
        <f t="shared" ca="1" si="9"/>
        <v>45664</v>
      </c>
      <c r="D171" t="s">
        <v>1252</v>
      </c>
      <c r="E171" t="s">
        <v>1257</v>
      </c>
      <c r="F171">
        <f t="shared" ca="1" si="10"/>
        <v>6</v>
      </c>
      <c r="G171">
        <v>120</v>
      </c>
      <c r="H171">
        <f t="shared" ca="1" si="11"/>
        <v>720</v>
      </c>
      <c r="I171" t="s">
        <v>213</v>
      </c>
      <c r="J171" t="str">
        <f ca="1">VLOOKUP(B171,Customer_Data!$A:$D,4,FALSE)</f>
        <v>Silver</v>
      </c>
    </row>
    <row r="172" spans="1:10" x14ac:dyDescent="0.35">
      <c r="A172" t="s">
        <v>419</v>
      </c>
      <c r="B172" t="str">
        <f t="shared" ca="1" si="8"/>
        <v>CUST023</v>
      </c>
      <c r="C172" s="1">
        <f t="shared" ca="1" si="9"/>
        <v>46020</v>
      </c>
      <c r="D172" t="s">
        <v>1252</v>
      </c>
      <c r="E172" t="s">
        <v>1257</v>
      </c>
      <c r="F172">
        <f t="shared" ca="1" si="10"/>
        <v>4</v>
      </c>
      <c r="G172">
        <v>120</v>
      </c>
      <c r="H172">
        <f t="shared" ca="1" si="11"/>
        <v>480</v>
      </c>
      <c r="I172" t="s">
        <v>213</v>
      </c>
      <c r="J172" t="str">
        <f ca="1">VLOOKUP(B172,Customer_Data!$A:$D,4,FALSE)</f>
        <v>Regular</v>
      </c>
    </row>
    <row r="173" spans="1:10" x14ac:dyDescent="0.35">
      <c r="A173" t="s">
        <v>420</v>
      </c>
      <c r="B173" t="str">
        <f t="shared" ca="1" si="8"/>
        <v>CUST107</v>
      </c>
      <c r="C173" s="1">
        <f t="shared" ca="1" si="9"/>
        <v>45813</v>
      </c>
      <c r="D173" t="s">
        <v>1251</v>
      </c>
      <c r="E173" t="s">
        <v>1256</v>
      </c>
      <c r="F173">
        <f t="shared" ca="1" si="10"/>
        <v>2</v>
      </c>
      <c r="G173">
        <v>80</v>
      </c>
      <c r="H173">
        <f t="shared" ca="1" si="11"/>
        <v>160</v>
      </c>
      <c r="I173" t="s">
        <v>213</v>
      </c>
      <c r="J173" t="str">
        <f ca="1">VLOOKUP(B173,Customer_Data!$A:$D,4,FALSE)</f>
        <v>Regular</v>
      </c>
    </row>
    <row r="174" spans="1:10" x14ac:dyDescent="0.35">
      <c r="A174" t="s">
        <v>421</v>
      </c>
      <c r="B174" t="str">
        <f t="shared" ca="1" si="8"/>
        <v>CUST158</v>
      </c>
      <c r="C174" s="1">
        <f t="shared" ca="1" si="9"/>
        <v>45834</v>
      </c>
      <c r="D174" t="s">
        <v>1251</v>
      </c>
      <c r="E174" t="s">
        <v>1256</v>
      </c>
      <c r="F174">
        <f t="shared" ca="1" si="10"/>
        <v>5</v>
      </c>
      <c r="G174">
        <v>80</v>
      </c>
      <c r="H174">
        <f t="shared" ca="1" si="11"/>
        <v>400</v>
      </c>
      <c r="I174" t="s">
        <v>213</v>
      </c>
      <c r="J174" t="str">
        <f ca="1">VLOOKUP(B174,Customer_Data!$A:$D,4,FALSE)</f>
        <v>Gold</v>
      </c>
    </row>
    <row r="175" spans="1:10" x14ac:dyDescent="0.35">
      <c r="A175" t="s">
        <v>422</v>
      </c>
      <c r="B175" t="str">
        <f t="shared" ca="1" si="8"/>
        <v>CUST175</v>
      </c>
      <c r="C175" s="1">
        <f t="shared" ca="1" si="9"/>
        <v>45872</v>
      </c>
      <c r="D175" t="s">
        <v>1249</v>
      </c>
      <c r="E175" t="s">
        <v>1254</v>
      </c>
      <c r="F175">
        <f t="shared" ca="1" si="10"/>
        <v>6</v>
      </c>
      <c r="G175">
        <v>25</v>
      </c>
      <c r="H175">
        <f t="shared" ca="1" si="11"/>
        <v>150</v>
      </c>
      <c r="I175" t="s">
        <v>213</v>
      </c>
      <c r="J175" t="str">
        <f ca="1">VLOOKUP(B175,Customer_Data!$A:$D,4,FALSE)</f>
        <v>Silver</v>
      </c>
    </row>
    <row r="176" spans="1:10" x14ac:dyDescent="0.35">
      <c r="A176" t="s">
        <v>423</v>
      </c>
      <c r="B176" t="str">
        <f t="shared" ca="1" si="8"/>
        <v>CUST184</v>
      </c>
      <c r="C176" s="1">
        <f t="shared" ca="1" si="9"/>
        <v>45787</v>
      </c>
      <c r="D176" t="s">
        <v>1253</v>
      </c>
      <c r="E176" t="s">
        <v>1258</v>
      </c>
      <c r="F176">
        <f t="shared" ca="1" si="10"/>
        <v>2</v>
      </c>
      <c r="G176">
        <v>90</v>
      </c>
      <c r="H176">
        <f t="shared" ca="1" si="11"/>
        <v>180</v>
      </c>
      <c r="I176" t="s">
        <v>214</v>
      </c>
      <c r="J176" t="str">
        <f ca="1">VLOOKUP(B176,Customer_Data!$A:$D,4,FALSE)</f>
        <v>Regular</v>
      </c>
    </row>
    <row r="177" spans="1:10" x14ac:dyDescent="0.35">
      <c r="A177" t="s">
        <v>424</v>
      </c>
      <c r="B177" t="str">
        <f t="shared" ca="1" si="8"/>
        <v>CUST079</v>
      </c>
      <c r="C177" s="1">
        <f t="shared" ca="1" si="9"/>
        <v>45816</v>
      </c>
      <c r="D177" t="s">
        <v>1250</v>
      </c>
      <c r="E177" t="s">
        <v>1255</v>
      </c>
      <c r="F177">
        <f t="shared" ca="1" si="10"/>
        <v>8</v>
      </c>
      <c r="G177">
        <v>60</v>
      </c>
      <c r="H177">
        <f t="shared" ca="1" si="11"/>
        <v>480</v>
      </c>
      <c r="I177" t="s">
        <v>213</v>
      </c>
      <c r="J177" t="str">
        <f ca="1">VLOOKUP(B177,Customer_Data!$A:$D,4,FALSE)</f>
        <v>Gold</v>
      </c>
    </row>
    <row r="178" spans="1:10" x14ac:dyDescent="0.35">
      <c r="A178" t="s">
        <v>425</v>
      </c>
      <c r="B178" t="str">
        <f t="shared" ca="1" si="8"/>
        <v>CUST172</v>
      </c>
      <c r="C178" s="1">
        <f t="shared" ca="1" si="9"/>
        <v>45826</v>
      </c>
      <c r="D178" t="s">
        <v>1252</v>
      </c>
      <c r="E178" t="s">
        <v>1257</v>
      </c>
      <c r="F178">
        <f t="shared" ca="1" si="10"/>
        <v>2</v>
      </c>
      <c r="G178">
        <v>120</v>
      </c>
      <c r="H178">
        <f t="shared" ca="1" si="11"/>
        <v>240</v>
      </c>
      <c r="I178" t="s">
        <v>212</v>
      </c>
      <c r="J178" t="str">
        <f ca="1">VLOOKUP(B178,Customer_Data!$A:$D,4,FALSE)</f>
        <v>Regular</v>
      </c>
    </row>
    <row r="179" spans="1:10" x14ac:dyDescent="0.35">
      <c r="A179" t="s">
        <v>426</v>
      </c>
      <c r="B179" t="str">
        <f t="shared" ca="1" si="8"/>
        <v>CUST182</v>
      </c>
      <c r="C179" s="1">
        <f t="shared" ca="1" si="9"/>
        <v>45806</v>
      </c>
      <c r="D179" t="s">
        <v>1253</v>
      </c>
      <c r="E179" t="s">
        <v>1258</v>
      </c>
      <c r="F179">
        <f t="shared" ca="1" si="10"/>
        <v>2</v>
      </c>
      <c r="G179">
        <v>90</v>
      </c>
      <c r="H179">
        <f t="shared" ca="1" si="11"/>
        <v>180</v>
      </c>
      <c r="I179" t="s">
        <v>214</v>
      </c>
      <c r="J179" t="str">
        <f ca="1">VLOOKUP(B179,Customer_Data!$A:$D,4,FALSE)</f>
        <v>Regular</v>
      </c>
    </row>
    <row r="180" spans="1:10" x14ac:dyDescent="0.35">
      <c r="A180" t="s">
        <v>427</v>
      </c>
      <c r="B180" t="str">
        <f t="shared" ca="1" si="8"/>
        <v>CUST189</v>
      </c>
      <c r="C180" s="1">
        <f t="shared" ca="1" si="9"/>
        <v>45977</v>
      </c>
      <c r="D180" t="s">
        <v>1251</v>
      </c>
      <c r="E180" t="s">
        <v>1256</v>
      </c>
      <c r="F180">
        <f t="shared" ca="1" si="10"/>
        <v>8</v>
      </c>
      <c r="G180">
        <v>80</v>
      </c>
      <c r="H180">
        <f t="shared" ca="1" si="11"/>
        <v>640</v>
      </c>
      <c r="I180" t="s">
        <v>212</v>
      </c>
      <c r="J180" t="str">
        <f ca="1">VLOOKUP(B180,Customer_Data!$A:$D,4,FALSE)</f>
        <v>Regular</v>
      </c>
    </row>
    <row r="181" spans="1:10" x14ac:dyDescent="0.35">
      <c r="A181" t="s">
        <v>428</v>
      </c>
      <c r="B181" t="str">
        <f t="shared" ca="1" si="8"/>
        <v>CUST029</v>
      </c>
      <c r="C181" s="1">
        <f t="shared" ca="1" si="9"/>
        <v>45970</v>
      </c>
      <c r="D181" t="s">
        <v>1251</v>
      </c>
      <c r="E181" t="s">
        <v>1256</v>
      </c>
      <c r="F181">
        <f t="shared" ca="1" si="10"/>
        <v>8</v>
      </c>
      <c r="G181">
        <v>80</v>
      </c>
      <c r="H181">
        <f t="shared" ca="1" si="11"/>
        <v>640</v>
      </c>
      <c r="I181" t="s">
        <v>211</v>
      </c>
      <c r="J181" t="str">
        <f ca="1">VLOOKUP(B181,Customer_Data!$A:$D,4,FALSE)</f>
        <v>Regular</v>
      </c>
    </row>
    <row r="182" spans="1:10" x14ac:dyDescent="0.35">
      <c r="A182" t="s">
        <v>429</v>
      </c>
      <c r="B182" t="str">
        <f t="shared" ca="1" si="8"/>
        <v>CUST182</v>
      </c>
      <c r="C182" s="1">
        <f t="shared" ca="1" si="9"/>
        <v>45917</v>
      </c>
      <c r="D182" t="s">
        <v>1253</v>
      </c>
      <c r="E182" t="s">
        <v>1258</v>
      </c>
      <c r="F182">
        <f t="shared" ca="1" si="10"/>
        <v>1</v>
      </c>
      <c r="G182">
        <v>90</v>
      </c>
      <c r="H182">
        <f t="shared" ca="1" si="11"/>
        <v>90</v>
      </c>
      <c r="I182" t="s">
        <v>213</v>
      </c>
      <c r="J182" t="str">
        <f ca="1">VLOOKUP(B182,Customer_Data!$A:$D,4,FALSE)</f>
        <v>Regular</v>
      </c>
    </row>
    <row r="183" spans="1:10" x14ac:dyDescent="0.35">
      <c r="A183" t="s">
        <v>430</v>
      </c>
      <c r="B183" t="str">
        <f t="shared" ca="1" si="8"/>
        <v>CUST051</v>
      </c>
      <c r="C183" s="1">
        <f t="shared" ca="1" si="9"/>
        <v>45761</v>
      </c>
      <c r="D183" t="s">
        <v>1253</v>
      </c>
      <c r="E183" t="s">
        <v>1258</v>
      </c>
      <c r="F183">
        <f t="shared" ca="1" si="10"/>
        <v>10</v>
      </c>
      <c r="G183">
        <v>90</v>
      </c>
      <c r="H183">
        <f t="shared" ca="1" si="11"/>
        <v>900</v>
      </c>
      <c r="I183" t="s">
        <v>214</v>
      </c>
      <c r="J183" t="str">
        <f ca="1">VLOOKUP(B183,Customer_Data!$A:$D,4,FALSE)</f>
        <v>Regular</v>
      </c>
    </row>
    <row r="184" spans="1:10" x14ac:dyDescent="0.35">
      <c r="A184" t="s">
        <v>431</v>
      </c>
      <c r="B184" t="str">
        <f t="shared" ca="1" si="8"/>
        <v>CUST140</v>
      </c>
      <c r="C184" s="1">
        <f t="shared" ca="1" si="9"/>
        <v>45716</v>
      </c>
      <c r="D184" t="s">
        <v>1249</v>
      </c>
      <c r="E184" t="s">
        <v>1254</v>
      </c>
      <c r="F184">
        <f t="shared" ca="1" si="10"/>
        <v>8</v>
      </c>
      <c r="G184">
        <v>25</v>
      </c>
      <c r="H184">
        <f t="shared" ca="1" si="11"/>
        <v>200</v>
      </c>
      <c r="I184" t="s">
        <v>214</v>
      </c>
      <c r="J184" t="str">
        <f ca="1">VLOOKUP(B184,Customer_Data!$A:$D,4,FALSE)</f>
        <v>Gold</v>
      </c>
    </row>
    <row r="185" spans="1:10" x14ac:dyDescent="0.35">
      <c r="A185" t="s">
        <v>432</v>
      </c>
      <c r="B185" t="str">
        <f t="shared" ca="1" si="8"/>
        <v>CUST151</v>
      </c>
      <c r="C185" s="1">
        <f t="shared" ca="1" si="9"/>
        <v>45984</v>
      </c>
      <c r="D185" t="s">
        <v>1252</v>
      </c>
      <c r="E185" t="s">
        <v>1257</v>
      </c>
      <c r="F185">
        <f t="shared" ca="1" si="10"/>
        <v>5</v>
      </c>
      <c r="G185">
        <v>120</v>
      </c>
      <c r="H185">
        <f t="shared" ca="1" si="11"/>
        <v>600</v>
      </c>
      <c r="I185" t="s">
        <v>212</v>
      </c>
      <c r="J185" t="str">
        <f ca="1">VLOOKUP(B185,Customer_Data!$A:$D,4,FALSE)</f>
        <v>Regular</v>
      </c>
    </row>
    <row r="186" spans="1:10" x14ac:dyDescent="0.35">
      <c r="A186" t="s">
        <v>433</v>
      </c>
      <c r="B186" t="str">
        <f t="shared" ca="1" si="8"/>
        <v>CUST017</v>
      </c>
      <c r="C186" s="1">
        <f t="shared" ca="1" si="9"/>
        <v>45696</v>
      </c>
      <c r="D186" t="s">
        <v>1251</v>
      </c>
      <c r="E186" t="s">
        <v>1256</v>
      </c>
      <c r="F186">
        <f t="shared" ca="1" si="10"/>
        <v>3</v>
      </c>
      <c r="G186">
        <v>80</v>
      </c>
      <c r="H186">
        <f t="shared" ca="1" si="11"/>
        <v>240</v>
      </c>
      <c r="I186" t="s">
        <v>214</v>
      </c>
      <c r="J186" t="str">
        <f ca="1">VLOOKUP(B186,Customer_Data!$A:$D,4,FALSE)</f>
        <v>Silver</v>
      </c>
    </row>
    <row r="187" spans="1:10" x14ac:dyDescent="0.35">
      <c r="A187" t="s">
        <v>434</v>
      </c>
      <c r="B187" t="str">
        <f t="shared" ca="1" si="8"/>
        <v>CUST061</v>
      </c>
      <c r="C187" s="1">
        <f t="shared" ca="1" si="9"/>
        <v>46002</v>
      </c>
      <c r="D187" t="s">
        <v>1249</v>
      </c>
      <c r="E187" t="s">
        <v>1254</v>
      </c>
      <c r="F187">
        <f t="shared" ca="1" si="10"/>
        <v>4</v>
      </c>
      <c r="G187">
        <v>25</v>
      </c>
      <c r="H187">
        <f t="shared" ca="1" si="11"/>
        <v>100</v>
      </c>
      <c r="I187" t="s">
        <v>213</v>
      </c>
      <c r="J187" t="str">
        <f ca="1">VLOOKUP(B187,Customer_Data!$A:$D,4,FALSE)</f>
        <v>Regular</v>
      </c>
    </row>
    <row r="188" spans="1:10" x14ac:dyDescent="0.35">
      <c r="A188" t="s">
        <v>435</v>
      </c>
      <c r="B188" t="str">
        <f t="shared" ca="1" si="8"/>
        <v>CUST096</v>
      </c>
      <c r="C188" s="1">
        <f t="shared" ca="1" si="9"/>
        <v>45704</v>
      </c>
      <c r="D188" t="s">
        <v>1250</v>
      </c>
      <c r="E188" t="s">
        <v>1255</v>
      </c>
      <c r="F188">
        <f t="shared" ca="1" si="10"/>
        <v>3</v>
      </c>
      <c r="G188">
        <v>60</v>
      </c>
      <c r="H188">
        <f t="shared" ca="1" si="11"/>
        <v>180</v>
      </c>
      <c r="I188" t="s">
        <v>212</v>
      </c>
      <c r="J188" t="str">
        <f ca="1">VLOOKUP(B188,Customer_Data!$A:$D,4,FALSE)</f>
        <v>Silver</v>
      </c>
    </row>
    <row r="189" spans="1:10" x14ac:dyDescent="0.35">
      <c r="A189" t="s">
        <v>436</v>
      </c>
      <c r="B189" t="str">
        <f t="shared" ca="1" si="8"/>
        <v>CUST179</v>
      </c>
      <c r="C189" s="1">
        <f t="shared" ca="1" si="9"/>
        <v>45894</v>
      </c>
      <c r="D189" t="s">
        <v>1249</v>
      </c>
      <c r="E189" t="s">
        <v>1254</v>
      </c>
      <c r="F189">
        <f t="shared" ca="1" si="10"/>
        <v>1</v>
      </c>
      <c r="G189">
        <v>25</v>
      </c>
      <c r="H189">
        <f t="shared" ca="1" si="11"/>
        <v>25</v>
      </c>
      <c r="I189" t="s">
        <v>212</v>
      </c>
      <c r="J189" t="str">
        <f ca="1">VLOOKUP(B189,Customer_Data!$A:$D,4,FALSE)</f>
        <v>Gold</v>
      </c>
    </row>
    <row r="190" spans="1:10" x14ac:dyDescent="0.35">
      <c r="A190" t="s">
        <v>437</v>
      </c>
      <c r="B190" t="str">
        <f t="shared" ca="1" si="8"/>
        <v>CUST092</v>
      </c>
      <c r="C190" s="1">
        <f t="shared" ca="1" si="9"/>
        <v>46007</v>
      </c>
      <c r="D190" t="s">
        <v>1249</v>
      </c>
      <c r="E190" t="s">
        <v>1254</v>
      </c>
      <c r="F190">
        <f t="shared" ca="1" si="10"/>
        <v>3</v>
      </c>
      <c r="G190">
        <v>25</v>
      </c>
      <c r="H190">
        <f t="shared" ca="1" si="11"/>
        <v>75</v>
      </c>
      <c r="I190" t="s">
        <v>213</v>
      </c>
      <c r="J190" t="str">
        <f ca="1">VLOOKUP(B190,Customer_Data!$A:$D,4,FALSE)</f>
        <v>Regular</v>
      </c>
    </row>
    <row r="191" spans="1:10" x14ac:dyDescent="0.35">
      <c r="A191" t="s">
        <v>438</v>
      </c>
      <c r="B191" t="str">
        <f t="shared" ca="1" si="8"/>
        <v>CUST037</v>
      </c>
      <c r="C191" s="1">
        <f t="shared" ca="1" si="9"/>
        <v>45829</v>
      </c>
      <c r="D191" t="s">
        <v>1249</v>
      </c>
      <c r="E191" t="s">
        <v>1254</v>
      </c>
      <c r="F191">
        <f t="shared" ca="1" si="10"/>
        <v>8</v>
      </c>
      <c r="G191">
        <v>25</v>
      </c>
      <c r="H191">
        <f t="shared" ca="1" si="11"/>
        <v>200</v>
      </c>
      <c r="I191" t="s">
        <v>213</v>
      </c>
      <c r="J191" t="str">
        <f ca="1">VLOOKUP(B191,Customer_Data!$A:$D,4,FALSE)</f>
        <v>Silver</v>
      </c>
    </row>
    <row r="192" spans="1:10" x14ac:dyDescent="0.35">
      <c r="A192" t="s">
        <v>439</v>
      </c>
      <c r="B192" t="str">
        <f t="shared" ca="1" si="8"/>
        <v>CUST180</v>
      </c>
      <c r="C192" s="1">
        <f t="shared" ca="1" si="9"/>
        <v>45804</v>
      </c>
      <c r="D192" t="s">
        <v>1249</v>
      </c>
      <c r="E192" t="s">
        <v>1254</v>
      </c>
      <c r="F192">
        <f t="shared" ca="1" si="10"/>
        <v>3</v>
      </c>
      <c r="G192">
        <v>25</v>
      </c>
      <c r="H192">
        <f t="shared" ca="1" si="11"/>
        <v>75</v>
      </c>
      <c r="I192" t="s">
        <v>214</v>
      </c>
      <c r="J192" t="str">
        <f ca="1">VLOOKUP(B192,Customer_Data!$A:$D,4,FALSE)</f>
        <v>Gold</v>
      </c>
    </row>
    <row r="193" spans="1:10" x14ac:dyDescent="0.35">
      <c r="A193" t="s">
        <v>440</v>
      </c>
      <c r="B193" t="str">
        <f t="shared" ca="1" si="8"/>
        <v>CUST087</v>
      </c>
      <c r="C193" s="1">
        <f t="shared" ca="1" si="9"/>
        <v>45770</v>
      </c>
      <c r="D193" t="s">
        <v>1250</v>
      </c>
      <c r="E193" t="s">
        <v>1255</v>
      </c>
      <c r="F193">
        <f t="shared" ca="1" si="10"/>
        <v>1</v>
      </c>
      <c r="G193">
        <v>60</v>
      </c>
      <c r="H193">
        <f t="shared" ca="1" si="11"/>
        <v>60</v>
      </c>
      <c r="I193" t="s">
        <v>214</v>
      </c>
      <c r="J193" t="str">
        <f ca="1">VLOOKUP(B193,Customer_Data!$A:$D,4,FALSE)</f>
        <v>Regular</v>
      </c>
    </row>
    <row r="194" spans="1:10" x14ac:dyDescent="0.35">
      <c r="A194" t="s">
        <v>441</v>
      </c>
      <c r="B194" t="str">
        <f t="shared" ca="1" si="8"/>
        <v>CUST116</v>
      </c>
      <c r="C194" s="1">
        <f t="shared" ca="1" si="9"/>
        <v>45764</v>
      </c>
      <c r="D194" t="s">
        <v>1253</v>
      </c>
      <c r="E194" t="s">
        <v>1258</v>
      </c>
      <c r="F194">
        <f t="shared" ca="1" si="10"/>
        <v>4</v>
      </c>
      <c r="G194">
        <v>90</v>
      </c>
      <c r="H194">
        <f t="shared" ca="1" si="11"/>
        <v>360</v>
      </c>
      <c r="I194" t="s">
        <v>211</v>
      </c>
      <c r="J194" t="str">
        <f ca="1">VLOOKUP(B194,Customer_Data!$A:$D,4,FALSE)</f>
        <v>Silver</v>
      </c>
    </row>
    <row r="195" spans="1:10" x14ac:dyDescent="0.35">
      <c r="A195" t="s">
        <v>442</v>
      </c>
      <c r="B195" t="str">
        <f t="shared" ref="B195:B258" ca="1" si="12">"CUST"&amp;TEXT(RANDBETWEEN(1,200),"000")</f>
        <v>CUST113</v>
      </c>
      <c r="C195" s="1">
        <f t="shared" ref="C195:C258" ca="1" si="13">DATE(2025,1,1)+RANDBETWEEN(0,364)</f>
        <v>45853</v>
      </c>
      <c r="D195" t="s">
        <v>1250</v>
      </c>
      <c r="E195" t="s">
        <v>1255</v>
      </c>
      <c r="F195">
        <f t="shared" ref="F195:F258" ca="1" si="14">RANDBETWEEN(1,10)</f>
        <v>10</v>
      </c>
      <c r="G195">
        <v>60</v>
      </c>
      <c r="H195">
        <f t="shared" ref="H195:H258" ca="1" si="15">F195*G195</f>
        <v>600</v>
      </c>
      <c r="I195" t="s">
        <v>214</v>
      </c>
      <c r="J195" t="str">
        <f ca="1">VLOOKUP(B195,Customer_Data!$A:$D,4,FALSE)</f>
        <v>Silver</v>
      </c>
    </row>
    <row r="196" spans="1:10" x14ac:dyDescent="0.35">
      <c r="A196" t="s">
        <v>443</v>
      </c>
      <c r="B196" t="str">
        <f t="shared" ca="1" si="12"/>
        <v>CUST188</v>
      </c>
      <c r="C196" s="1">
        <f t="shared" ca="1" si="13"/>
        <v>45906</v>
      </c>
      <c r="D196" t="s">
        <v>1253</v>
      </c>
      <c r="E196" t="s">
        <v>1258</v>
      </c>
      <c r="F196">
        <f t="shared" ca="1" si="14"/>
        <v>7</v>
      </c>
      <c r="G196">
        <v>90</v>
      </c>
      <c r="H196">
        <f t="shared" ca="1" si="15"/>
        <v>630</v>
      </c>
      <c r="I196" t="s">
        <v>213</v>
      </c>
      <c r="J196" t="str">
        <f ca="1">VLOOKUP(B196,Customer_Data!$A:$D,4,FALSE)</f>
        <v>Regular</v>
      </c>
    </row>
    <row r="197" spans="1:10" x14ac:dyDescent="0.35">
      <c r="A197" t="s">
        <v>444</v>
      </c>
      <c r="B197" t="str">
        <f t="shared" ca="1" si="12"/>
        <v>CUST073</v>
      </c>
      <c r="C197" s="1">
        <f t="shared" ca="1" si="13"/>
        <v>45841</v>
      </c>
      <c r="D197" t="s">
        <v>1253</v>
      </c>
      <c r="E197" t="s">
        <v>1258</v>
      </c>
      <c r="F197">
        <f t="shared" ca="1" si="14"/>
        <v>3</v>
      </c>
      <c r="G197">
        <v>90</v>
      </c>
      <c r="H197">
        <f t="shared" ca="1" si="15"/>
        <v>270</v>
      </c>
      <c r="I197" t="s">
        <v>212</v>
      </c>
      <c r="J197" t="str">
        <f ca="1">VLOOKUP(B197,Customer_Data!$A:$D,4,FALSE)</f>
        <v>Silver</v>
      </c>
    </row>
    <row r="198" spans="1:10" x14ac:dyDescent="0.35">
      <c r="A198" t="s">
        <v>445</v>
      </c>
      <c r="B198" t="str">
        <f t="shared" ca="1" si="12"/>
        <v>CUST164</v>
      </c>
      <c r="C198" s="1">
        <f t="shared" ca="1" si="13"/>
        <v>45770</v>
      </c>
      <c r="D198" t="s">
        <v>1250</v>
      </c>
      <c r="E198" t="s">
        <v>1255</v>
      </c>
      <c r="F198">
        <f t="shared" ca="1" si="14"/>
        <v>5</v>
      </c>
      <c r="G198">
        <v>60</v>
      </c>
      <c r="H198">
        <f t="shared" ca="1" si="15"/>
        <v>300</v>
      </c>
      <c r="I198" t="s">
        <v>214</v>
      </c>
      <c r="J198" t="str">
        <f ca="1">VLOOKUP(B198,Customer_Data!$A:$D,4,FALSE)</f>
        <v>Regular</v>
      </c>
    </row>
    <row r="199" spans="1:10" x14ac:dyDescent="0.35">
      <c r="A199" t="s">
        <v>446</v>
      </c>
      <c r="B199" t="str">
        <f t="shared" ca="1" si="12"/>
        <v>CUST006</v>
      </c>
      <c r="C199" s="1">
        <f t="shared" ca="1" si="13"/>
        <v>45778</v>
      </c>
      <c r="D199" t="s">
        <v>1250</v>
      </c>
      <c r="E199" t="s">
        <v>1255</v>
      </c>
      <c r="F199">
        <f t="shared" ca="1" si="14"/>
        <v>10</v>
      </c>
      <c r="G199">
        <v>60</v>
      </c>
      <c r="H199">
        <f t="shared" ca="1" si="15"/>
        <v>600</v>
      </c>
      <c r="I199" t="s">
        <v>214</v>
      </c>
      <c r="J199" t="str">
        <f ca="1">VLOOKUP(B199,Customer_Data!$A:$D,4,FALSE)</f>
        <v>Regular</v>
      </c>
    </row>
    <row r="200" spans="1:10" x14ac:dyDescent="0.35">
      <c r="A200" t="s">
        <v>447</v>
      </c>
      <c r="B200" t="str">
        <f t="shared" ca="1" si="12"/>
        <v>CUST108</v>
      </c>
      <c r="C200" s="1">
        <f t="shared" ca="1" si="13"/>
        <v>45867</v>
      </c>
      <c r="D200" t="s">
        <v>1250</v>
      </c>
      <c r="E200" t="s">
        <v>1255</v>
      </c>
      <c r="F200">
        <f t="shared" ca="1" si="14"/>
        <v>1</v>
      </c>
      <c r="G200">
        <v>60</v>
      </c>
      <c r="H200">
        <f t="shared" ca="1" si="15"/>
        <v>60</v>
      </c>
      <c r="I200" t="s">
        <v>214</v>
      </c>
      <c r="J200" t="str">
        <f ca="1">VLOOKUP(B200,Customer_Data!$A:$D,4,FALSE)</f>
        <v>Regular</v>
      </c>
    </row>
    <row r="201" spans="1:10" x14ac:dyDescent="0.35">
      <c r="A201" t="s">
        <v>448</v>
      </c>
      <c r="B201" t="str">
        <f t="shared" ca="1" si="12"/>
        <v>CUST053</v>
      </c>
      <c r="C201" s="1">
        <f t="shared" ca="1" si="13"/>
        <v>45949</v>
      </c>
      <c r="D201" t="s">
        <v>1249</v>
      </c>
      <c r="E201" t="s">
        <v>1254</v>
      </c>
      <c r="F201">
        <f t="shared" ca="1" si="14"/>
        <v>1</v>
      </c>
      <c r="G201">
        <v>25</v>
      </c>
      <c r="H201">
        <f t="shared" ca="1" si="15"/>
        <v>25</v>
      </c>
      <c r="I201" t="s">
        <v>213</v>
      </c>
      <c r="J201" t="str">
        <f ca="1">VLOOKUP(B201,Customer_Data!$A:$D,4,FALSE)</f>
        <v>Silver</v>
      </c>
    </row>
    <row r="202" spans="1:10" x14ac:dyDescent="0.35">
      <c r="A202" t="s">
        <v>449</v>
      </c>
      <c r="B202" t="str">
        <f t="shared" ca="1" si="12"/>
        <v>CUST052</v>
      </c>
      <c r="C202" s="1">
        <f t="shared" ca="1" si="13"/>
        <v>45952</v>
      </c>
      <c r="D202" t="s">
        <v>1252</v>
      </c>
      <c r="E202" t="s">
        <v>1257</v>
      </c>
      <c r="F202">
        <f t="shared" ca="1" si="14"/>
        <v>5</v>
      </c>
      <c r="G202">
        <v>120</v>
      </c>
      <c r="H202">
        <f t="shared" ca="1" si="15"/>
        <v>600</v>
      </c>
      <c r="I202" t="s">
        <v>213</v>
      </c>
      <c r="J202" t="str">
        <f ca="1">VLOOKUP(B202,Customer_Data!$A:$D,4,FALSE)</f>
        <v>Regular</v>
      </c>
    </row>
    <row r="203" spans="1:10" x14ac:dyDescent="0.35">
      <c r="A203" t="s">
        <v>450</v>
      </c>
      <c r="B203" t="str">
        <f t="shared" ca="1" si="12"/>
        <v>CUST131</v>
      </c>
      <c r="C203" s="1">
        <f t="shared" ca="1" si="13"/>
        <v>45665</v>
      </c>
      <c r="D203" t="s">
        <v>1251</v>
      </c>
      <c r="E203" t="s">
        <v>1256</v>
      </c>
      <c r="F203">
        <f t="shared" ca="1" si="14"/>
        <v>7</v>
      </c>
      <c r="G203">
        <v>80</v>
      </c>
      <c r="H203">
        <f t="shared" ca="1" si="15"/>
        <v>560</v>
      </c>
      <c r="I203" t="s">
        <v>214</v>
      </c>
      <c r="J203" t="str">
        <f ca="1">VLOOKUP(B203,Customer_Data!$A:$D,4,FALSE)</f>
        <v>Regular</v>
      </c>
    </row>
    <row r="204" spans="1:10" x14ac:dyDescent="0.35">
      <c r="A204" t="s">
        <v>451</v>
      </c>
      <c r="B204" t="str">
        <f t="shared" ca="1" si="12"/>
        <v>CUST161</v>
      </c>
      <c r="C204" s="1">
        <f t="shared" ca="1" si="13"/>
        <v>45874</v>
      </c>
      <c r="D204" t="s">
        <v>1252</v>
      </c>
      <c r="E204" t="s">
        <v>1257</v>
      </c>
      <c r="F204">
        <f t="shared" ca="1" si="14"/>
        <v>8</v>
      </c>
      <c r="G204">
        <v>120</v>
      </c>
      <c r="H204">
        <f t="shared" ca="1" si="15"/>
        <v>960</v>
      </c>
      <c r="I204" t="s">
        <v>212</v>
      </c>
      <c r="J204" t="str">
        <f ca="1">VLOOKUP(B204,Customer_Data!$A:$D,4,FALSE)</f>
        <v>Regular</v>
      </c>
    </row>
    <row r="205" spans="1:10" x14ac:dyDescent="0.35">
      <c r="A205" t="s">
        <v>452</v>
      </c>
      <c r="B205" t="str">
        <f t="shared" ca="1" si="12"/>
        <v>CUST014</v>
      </c>
      <c r="C205" s="1">
        <f t="shared" ca="1" si="13"/>
        <v>45862</v>
      </c>
      <c r="D205" t="s">
        <v>1250</v>
      </c>
      <c r="E205" t="s">
        <v>1255</v>
      </c>
      <c r="F205">
        <f t="shared" ca="1" si="14"/>
        <v>6</v>
      </c>
      <c r="G205">
        <v>60</v>
      </c>
      <c r="H205">
        <f t="shared" ca="1" si="15"/>
        <v>360</v>
      </c>
      <c r="I205" t="s">
        <v>211</v>
      </c>
      <c r="J205" t="str">
        <f ca="1">VLOOKUP(B205,Customer_Data!$A:$D,4,FALSE)</f>
        <v>Silver</v>
      </c>
    </row>
    <row r="206" spans="1:10" x14ac:dyDescent="0.35">
      <c r="A206" t="s">
        <v>453</v>
      </c>
      <c r="B206" t="str">
        <f t="shared" ca="1" si="12"/>
        <v>CUST029</v>
      </c>
      <c r="C206" s="1">
        <f t="shared" ca="1" si="13"/>
        <v>45814</v>
      </c>
      <c r="D206" t="s">
        <v>1252</v>
      </c>
      <c r="E206" t="s">
        <v>1257</v>
      </c>
      <c r="F206">
        <f t="shared" ca="1" si="14"/>
        <v>3</v>
      </c>
      <c r="G206">
        <v>120</v>
      </c>
      <c r="H206">
        <f t="shared" ca="1" si="15"/>
        <v>360</v>
      </c>
      <c r="I206" t="s">
        <v>212</v>
      </c>
      <c r="J206" t="str">
        <f ca="1">VLOOKUP(B206,Customer_Data!$A:$D,4,FALSE)</f>
        <v>Regular</v>
      </c>
    </row>
    <row r="207" spans="1:10" x14ac:dyDescent="0.35">
      <c r="A207" t="s">
        <v>454</v>
      </c>
      <c r="B207" t="str">
        <f t="shared" ca="1" si="12"/>
        <v>CUST134</v>
      </c>
      <c r="C207" s="1">
        <f t="shared" ca="1" si="13"/>
        <v>45913</v>
      </c>
      <c r="D207" t="s">
        <v>1251</v>
      </c>
      <c r="E207" t="s">
        <v>1256</v>
      </c>
      <c r="F207">
        <f t="shared" ca="1" si="14"/>
        <v>7</v>
      </c>
      <c r="G207">
        <v>80</v>
      </c>
      <c r="H207">
        <f t="shared" ca="1" si="15"/>
        <v>560</v>
      </c>
      <c r="I207" t="s">
        <v>214</v>
      </c>
      <c r="J207" t="str">
        <f ca="1">VLOOKUP(B207,Customer_Data!$A:$D,4,FALSE)</f>
        <v>Silver</v>
      </c>
    </row>
    <row r="208" spans="1:10" x14ac:dyDescent="0.35">
      <c r="A208" t="s">
        <v>455</v>
      </c>
      <c r="B208" t="str">
        <f t="shared" ca="1" si="12"/>
        <v>CUST008</v>
      </c>
      <c r="C208" s="1">
        <f t="shared" ca="1" si="13"/>
        <v>45958</v>
      </c>
      <c r="D208" t="s">
        <v>1251</v>
      </c>
      <c r="E208" t="s">
        <v>1256</v>
      </c>
      <c r="F208">
        <f t="shared" ca="1" si="14"/>
        <v>8</v>
      </c>
      <c r="G208">
        <v>80</v>
      </c>
      <c r="H208">
        <f t="shared" ca="1" si="15"/>
        <v>640</v>
      </c>
      <c r="I208" t="s">
        <v>211</v>
      </c>
      <c r="J208" t="str">
        <f ca="1">VLOOKUP(B208,Customer_Data!$A:$D,4,FALSE)</f>
        <v>Regular</v>
      </c>
    </row>
    <row r="209" spans="1:10" x14ac:dyDescent="0.35">
      <c r="A209" t="s">
        <v>456</v>
      </c>
      <c r="B209" t="str">
        <f t="shared" ca="1" si="12"/>
        <v>CUST189</v>
      </c>
      <c r="C209" s="1">
        <f t="shared" ca="1" si="13"/>
        <v>45773</v>
      </c>
      <c r="D209" t="s">
        <v>1253</v>
      </c>
      <c r="E209" t="s">
        <v>1258</v>
      </c>
      <c r="F209">
        <f t="shared" ca="1" si="14"/>
        <v>9</v>
      </c>
      <c r="G209">
        <v>90</v>
      </c>
      <c r="H209">
        <f t="shared" ca="1" si="15"/>
        <v>810</v>
      </c>
      <c r="I209" t="s">
        <v>212</v>
      </c>
      <c r="J209" t="str">
        <f ca="1">VLOOKUP(B209,Customer_Data!$A:$D,4,FALSE)</f>
        <v>Regular</v>
      </c>
    </row>
    <row r="210" spans="1:10" x14ac:dyDescent="0.35">
      <c r="A210" t="s">
        <v>457</v>
      </c>
      <c r="B210" t="str">
        <f t="shared" ca="1" si="12"/>
        <v>CUST063</v>
      </c>
      <c r="C210" s="1">
        <f t="shared" ca="1" si="13"/>
        <v>46011</v>
      </c>
      <c r="D210" t="s">
        <v>1253</v>
      </c>
      <c r="E210" t="s">
        <v>1258</v>
      </c>
      <c r="F210">
        <f t="shared" ca="1" si="14"/>
        <v>2</v>
      </c>
      <c r="G210">
        <v>90</v>
      </c>
      <c r="H210">
        <f t="shared" ca="1" si="15"/>
        <v>180</v>
      </c>
      <c r="I210" t="s">
        <v>214</v>
      </c>
      <c r="J210" t="str">
        <f ca="1">VLOOKUP(B210,Customer_Data!$A:$D,4,FALSE)</f>
        <v>Regular</v>
      </c>
    </row>
    <row r="211" spans="1:10" x14ac:dyDescent="0.35">
      <c r="A211" t="s">
        <v>458</v>
      </c>
      <c r="B211" t="str">
        <f t="shared" ca="1" si="12"/>
        <v>CUST150</v>
      </c>
      <c r="C211" s="1">
        <f t="shared" ca="1" si="13"/>
        <v>45984</v>
      </c>
      <c r="D211" t="s">
        <v>1251</v>
      </c>
      <c r="E211" t="s">
        <v>1256</v>
      </c>
      <c r="F211">
        <f t="shared" ca="1" si="14"/>
        <v>7</v>
      </c>
      <c r="G211">
        <v>80</v>
      </c>
      <c r="H211">
        <f t="shared" ca="1" si="15"/>
        <v>560</v>
      </c>
      <c r="I211" t="s">
        <v>212</v>
      </c>
      <c r="J211" t="str">
        <f ca="1">VLOOKUP(B211,Customer_Data!$A:$D,4,FALSE)</f>
        <v>Regular</v>
      </c>
    </row>
    <row r="212" spans="1:10" x14ac:dyDescent="0.35">
      <c r="A212" t="s">
        <v>459</v>
      </c>
      <c r="B212" t="str">
        <f t="shared" ca="1" si="12"/>
        <v>CUST200</v>
      </c>
      <c r="C212" s="1">
        <f t="shared" ca="1" si="13"/>
        <v>45903</v>
      </c>
      <c r="D212" t="s">
        <v>1249</v>
      </c>
      <c r="E212" t="s">
        <v>1254</v>
      </c>
      <c r="F212">
        <f t="shared" ca="1" si="14"/>
        <v>8</v>
      </c>
      <c r="G212">
        <v>25</v>
      </c>
      <c r="H212">
        <f t="shared" ca="1" si="15"/>
        <v>200</v>
      </c>
      <c r="I212" t="s">
        <v>214</v>
      </c>
      <c r="J212" t="str">
        <f ca="1">VLOOKUP(B212,Customer_Data!$A:$D,4,FALSE)</f>
        <v>Gold</v>
      </c>
    </row>
    <row r="213" spans="1:10" x14ac:dyDescent="0.35">
      <c r="A213" t="s">
        <v>460</v>
      </c>
      <c r="B213" t="str">
        <f t="shared" ca="1" si="12"/>
        <v>CUST113</v>
      </c>
      <c r="C213" s="1">
        <f t="shared" ca="1" si="13"/>
        <v>45869</v>
      </c>
      <c r="D213" t="s">
        <v>1249</v>
      </c>
      <c r="E213" t="s">
        <v>1254</v>
      </c>
      <c r="F213">
        <f t="shared" ca="1" si="14"/>
        <v>4</v>
      </c>
      <c r="G213">
        <v>25</v>
      </c>
      <c r="H213">
        <f t="shared" ca="1" si="15"/>
        <v>100</v>
      </c>
      <c r="I213" t="s">
        <v>214</v>
      </c>
      <c r="J213" t="str">
        <f ca="1">VLOOKUP(B213,Customer_Data!$A:$D,4,FALSE)</f>
        <v>Silver</v>
      </c>
    </row>
    <row r="214" spans="1:10" x14ac:dyDescent="0.35">
      <c r="A214" t="s">
        <v>461</v>
      </c>
      <c r="B214" t="str">
        <f t="shared" ca="1" si="12"/>
        <v>CUST073</v>
      </c>
      <c r="C214" s="1">
        <f t="shared" ca="1" si="13"/>
        <v>45747</v>
      </c>
      <c r="D214" t="s">
        <v>1251</v>
      </c>
      <c r="E214" t="s">
        <v>1256</v>
      </c>
      <c r="F214">
        <f t="shared" ca="1" si="14"/>
        <v>4</v>
      </c>
      <c r="G214">
        <v>80</v>
      </c>
      <c r="H214">
        <f t="shared" ca="1" si="15"/>
        <v>320</v>
      </c>
      <c r="I214" t="s">
        <v>213</v>
      </c>
      <c r="J214" t="str">
        <f ca="1">VLOOKUP(B214,Customer_Data!$A:$D,4,FALSE)</f>
        <v>Silver</v>
      </c>
    </row>
    <row r="215" spans="1:10" x14ac:dyDescent="0.35">
      <c r="A215" t="s">
        <v>462</v>
      </c>
      <c r="B215" t="str">
        <f t="shared" ca="1" si="12"/>
        <v>CUST118</v>
      </c>
      <c r="C215" s="1">
        <f t="shared" ca="1" si="13"/>
        <v>45658</v>
      </c>
      <c r="D215" t="s">
        <v>1253</v>
      </c>
      <c r="E215" t="s">
        <v>1258</v>
      </c>
      <c r="F215">
        <f t="shared" ca="1" si="14"/>
        <v>6</v>
      </c>
      <c r="G215">
        <v>90</v>
      </c>
      <c r="H215">
        <f t="shared" ca="1" si="15"/>
        <v>540</v>
      </c>
      <c r="I215" t="s">
        <v>214</v>
      </c>
      <c r="J215" t="str">
        <f ca="1">VLOOKUP(B215,Customer_Data!$A:$D,4,FALSE)</f>
        <v>Gold</v>
      </c>
    </row>
    <row r="216" spans="1:10" x14ac:dyDescent="0.35">
      <c r="A216" t="s">
        <v>463</v>
      </c>
      <c r="B216" t="str">
        <f t="shared" ca="1" si="12"/>
        <v>CUST035</v>
      </c>
      <c r="C216" s="1">
        <f t="shared" ca="1" si="13"/>
        <v>45907</v>
      </c>
      <c r="D216" t="s">
        <v>1249</v>
      </c>
      <c r="E216" t="s">
        <v>1254</v>
      </c>
      <c r="F216">
        <f t="shared" ca="1" si="14"/>
        <v>3</v>
      </c>
      <c r="G216">
        <v>25</v>
      </c>
      <c r="H216">
        <f t="shared" ca="1" si="15"/>
        <v>75</v>
      </c>
      <c r="I216" t="s">
        <v>211</v>
      </c>
      <c r="J216" t="str">
        <f ca="1">VLOOKUP(B216,Customer_Data!$A:$D,4,FALSE)</f>
        <v>Silver</v>
      </c>
    </row>
    <row r="217" spans="1:10" x14ac:dyDescent="0.35">
      <c r="A217" t="s">
        <v>464</v>
      </c>
      <c r="B217" t="str">
        <f t="shared" ca="1" si="12"/>
        <v>CUST035</v>
      </c>
      <c r="C217" s="1">
        <f t="shared" ca="1" si="13"/>
        <v>45986</v>
      </c>
      <c r="D217" t="s">
        <v>1251</v>
      </c>
      <c r="E217" t="s">
        <v>1256</v>
      </c>
      <c r="F217">
        <f t="shared" ca="1" si="14"/>
        <v>9</v>
      </c>
      <c r="G217">
        <v>80</v>
      </c>
      <c r="H217">
        <f t="shared" ca="1" si="15"/>
        <v>720</v>
      </c>
      <c r="I217" t="s">
        <v>213</v>
      </c>
      <c r="J217" t="str">
        <f ca="1">VLOOKUP(B217,Customer_Data!$A:$D,4,FALSE)</f>
        <v>Silver</v>
      </c>
    </row>
    <row r="218" spans="1:10" x14ac:dyDescent="0.35">
      <c r="A218" t="s">
        <v>465</v>
      </c>
      <c r="B218" t="str">
        <f t="shared" ca="1" si="12"/>
        <v>CUST005</v>
      </c>
      <c r="C218" s="1">
        <f t="shared" ca="1" si="13"/>
        <v>45907</v>
      </c>
      <c r="D218" t="s">
        <v>1249</v>
      </c>
      <c r="E218" t="s">
        <v>1254</v>
      </c>
      <c r="F218">
        <f t="shared" ca="1" si="14"/>
        <v>7</v>
      </c>
      <c r="G218">
        <v>25</v>
      </c>
      <c r="H218">
        <f t="shared" ca="1" si="15"/>
        <v>175</v>
      </c>
      <c r="I218" t="s">
        <v>212</v>
      </c>
      <c r="J218" t="str">
        <f ca="1">VLOOKUP(B218,Customer_Data!$A:$D,4,FALSE)</f>
        <v>Regular</v>
      </c>
    </row>
    <row r="219" spans="1:10" x14ac:dyDescent="0.35">
      <c r="A219" t="s">
        <v>466</v>
      </c>
      <c r="B219" t="str">
        <f t="shared" ca="1" si="12"/>
        <v>CUST160</v>
      </c>
      <c r="C219" s="1">
        <f t="shared" ca="1" si="13"/>
        <v>45957</v>
      </c>
      <c r="D219" t="s">
        <v>1251</v>
      </c>
      <c r="E219" t="s">
        <v>1256</v>
      </c>
      <c r="F219">
        <f t="shared" ca="1" si="14"/>
        <v>3</v>
      </c>
      <c r="G219">
        <v>80</v>
      </c>
      <c r="H219">
        <f t="shared" ca="1" si="15"/>
        <v>240</v>
      </c>
      <c r="I219" t="s">
        <v>212</v>
      </c>
      <c r="J219" t="str">
        <f ca="1">VLOOKUP(B219,Customer_Data!$A:$D,4,FALSE)</f>
        <v>Gold</v>
      </c>
    </row>
    <row r="220" spans="1:10" x14ac:dyDescent="0.35">
      <c r="A220" t="s">
        <v>467</v>
      </c>
      <c r="B220" t="str">
        <f t="shared" ca="1" si="12"/>
        <v>CUST064</v>
      </c>
      <c r="C220" s="1">
        <f t="shared" ca="1" si="13"/>
        <v>45948</v>
      </c>
      <c r="D220" t="s">
        <v>1249</v>
      </c>
      <c r="E220" t="s">
        <v>1254</v>
      </c>
      <c r="F220">
        <f t="shared" ca="1" si="14"/>
        <v>6</v>
      </c>
      <c r="G220">
        <v>25</v>
      </c>
      <c r="H220">
        <f t="shared" ca="1" si="15"/>
        <v>150</v>
      </c>
      <c r="I220" t="s">
        <v>211</v>
      </c>
      <c r="J220" t="str">
        <f ca="1">VLOOKUP(B220,Customer_Data!$A:$D,4,FALSE)</f>
        <v>Regular</v>
      </c>
    </row>
    <row r="221" spans="1:10" x14ac:dyDescent="0.35">
      <c r="A221" t="s">
        <v>468</v>
      </c>
      <c r="B221" t="str">
        <f t="shared" ca="1" si="12"/>
        <v>CUST157</v>
      </c>
      <c r="C221" s="1">
        <f t="shared" ca="1" si="13"/>
        <v>45735</v>
      </c>
      <c r="D221" t="s">
        <v>1250</v>
      </c>
      <c r="E221" t="s">
        <v>1255</v>
      </c>
      <c r="F221">
        <f t="shared" ca="1" si="14"/>
        <v>10</v>
      </c>
      <c r="G221">
        <v>60</v>
      </c>
      <c r="H221">
        <f t="shared" ca="1" si="15"/>
        <v>600</v>
      </c>
      <c r="I221" t="s">
        <v>211</v>
      </c>
      <c r="J221" t="str">
        <f ca="1">VLOOKUP(B221,Customer_Data!$A:$D,4,FALSE)</f>
        <v>Silver</v>
      </c>
    </row>
    <row r="222" spans="1:10" x14ac:dyDescent="0.35">
      <c r="A222" t="s">
        <v>469</v>
      </c>
      <c r="B222" t="str">
        <f t="shared" ca="1" si="12"/>
        <v>CUST191</v>
      </c>
      <c r="C222" s="1">
        <f t="shared" ca="1" si="13"/>
        <v>45885</v>
      </c>
      <c r="D222" t="s">
        <v>1249</v>
      </c>
      <c r="E222" t="s">
        <v>1254</v>
      </c>
      <c r="F222">
        <f t="shared" ca="1" si="14"/>
        <v>1</v>
      </c>
      <c r="G222">
        <v>25</v>
      </c>
      <c r="H222">
        <f t="shared" ca="1" si="15"/>
        <v>25</v>
      </c>
      <c r="I222" t="s">
        <v>211</v>
      </c>
      <c r="J222" t="str">
        <f ca="1">VLOOKUP(B222,Customer_Data!$A:$D,4,FALSE)</f>
        <v>Regular</v>
      </c>
    </row>
    <row r="223" spans="1:10" x14ac:dyDescent="0.35">
      <c r="A223" t="s">
        <v>470</v>
      </c>
      <c r="B223" t="str">
        <f t="shared" ca="1" si="12"/>
        <v>CUST120</v>
      </c>
      <c r="C223" s="1">
        <f t="shared" ca="1" si="13"/>
        <v>45988</v>
      </c>
      <c r="D223" t="s">
        <v>1253</v>
      </c>
      <c r="E223" t="s">
        <v>1258</v>
      </c>
      <c r="F223">
        <f t="shared" ca="1" si="14"/>
        <v>2</v>
      </c>
      <c r="G223">
        <v>90</v>
      </c>
      <c r="H223">
        <f t="shared" ca="1" si="15"/>
        <v>180</v>
      </c>
      <c r="I223" t="s">
        <v>214</v>
      </c>
      <c r="J223" t="str">
        <f ca="1">VLOOKUP(B223,Customer_Data!$A:$D,4,FALSE)</f>
        <v>Gold</v>
      </c>
    </row>
    <row r="224" spans="1:10" x14ac:dyDescent="0.35">
      <c r="A224" t="s">
        <v>471</v>
      </c>
      <c r="B224" t="str">
        <f t="shared" ca="1" si="12"/>
        <v>CUST089</v>
      </c>
      <c r="C224" s="1">
        <f t="shared" ca="1" si="13"/>
        <v>45674</v>
      </c>
      <c r="D224" t="s">
        <v>1252</v>
      </c>
      <c r="E224" t="s">
        <v>1257</v>
      </c>
      <c r="F224">
        <f t="shared" ca="1" si="14"/>
        <v>1</v>
      </c>
      <c r="G224">
        <v>120</v>
      </c>
      <c r="H224">
        <f t="shared" ca="1" si="15"/>
        <v>120</v>
      </c>
      <c r="I224" t="s">
        <v>214</v>
      </c>
      <c r="J224" t="str">
        <f ca="1">VLOOKUP(B224,Customer_Data!$A:$D,4,FALSE)</f>
        <v>Regular</v>
      </c>
    </row>
    <row r="225" spans="1:10" x14ac:dyDescent="0.35">
      <c r="A225" t="s">
        <v>472</v>
      </c>
      <c r="B225" t="str">
        <f t="shared" ca="1" si="12"/>
        <v>CUST033</v>
      </c>
      <c r="C225" s="1">
        <f t="shared" ca="1" si="13"/>
        <v>45954</v>
      </c>
      <c r="D225" t="s">
        <v>1249</v>
      </c>
      <c r="E225" t="s">
        <v>1254</v>
      </c>
      <c r="F225">
        <f t="shared" ca="1" si="14"/>
        <v>3</v>
      </c>
      <c r="G225">
        <v>25</v>
      </c>
      <c r="H225">
        <f t="shared" ca="1" si="15"/>
        <v>75</v>
      </c>
      <c r="I225" t="s">
        <v>213</v>
      </c>
      <c r="J225" t="str">
        <f ca="1">VLOOKUP(B225,Customer_Data!$A:$D,4,FALSE)</f>
        <v>Silver</v>
      </c>
    </row>
    <row r="226" spans="1:10" x14ac:dyDescent="0.35">
      <c r="A226" t="s">
        <v>473</v>
      </c>
      <c r="B226" t="str">
        <f t="shared" ca="1" si="12"/>
        <v>CUST072</v>
      </c>
      <c r="C226" s="1">
        <f t="shared" ca="1" si="13"/>
        <v>45916</v>
      </c>
      <c r="D226" t="s">
        <v>1249</v>
      </c>
      <c r="E226" t="s">
        <v>1254</v>
      </c>
      <c r="F226">
        <f t="shared" ca="1" si="14"/>
        <v>1</v>
      </c>
      <c r="G226">
        <v>25</v>
      </c>
      <c r="H226">
        <f t="shared" ca="1" si="15"/>
        <v>25</v>
      </c>
      <c r="I226" t="s">
        <v>214</v>
      </c>
      <c r="J226" t="str">
        <f ca="1">VLOOKUP(B226,Customer_Data!$A:$D,4,FALSE)</f>
        <v>Regular</v>
      </c>
    </row>
    <row r="227" spans="1:10" x14ac:dyDescent="0.35">
      <c r="A227" t="s">
        <v>474</v>
      </c>
      <c r="B227" t="str">
        <f t="shared" ca="1" si="12"/>
        <v>CUST112</v>
      </c>
      <c r="C227" s="1">
        <f t="shared" ca="1" si="13"/>
        <v>45828</v>
      </c>
      <c r="D227" t="s">
        <v>1251</v>
      </c>
      <c r="E227" t="s">
        <v>1256</v>
      </c>
      <c r="F227">
        <f t="shared" ca="1" si="14"/>
        <v>3</v>
      </c>
      <c r="G227">
        <v>80</v>
      </c>
      <c r="H227">
        <f t="shared" ca="1" si="15"/>
        <v>240</v>
      </c>
      <c r="I227" t="s">
        <v>213</v>
      </c>
      <c r="J227" t="str">
        <f ca="1">VLOOKUP(B227,Customer_Data!$A:$D,4,FALSE)</f>
        <v>Regular</v>
      </c>
    </row>
    <row r="228" spans="1:10" x14ac:dyDescent="0.35">
      <c r="A228" t="s">
        <v>475</v>
      </c>
      <c r="B228" t="str">
        <f t="shared" ca="1" si="12"/>
        <v>CUST037</v>
      </c>
      <c r="C228" s="1">
        <f t="shared" ca="1" si="13"/>
        <v>45667</v>
      </c>
      <c r="D228" t="s">
        <v>1253</v>
      </c>
      <c r="E228" t="s">
        <v>1258</v>
      </c>
      <c r="F228">
        <f t="shared" ca="1" si="14"/>
        <v>7</v>
      </c>
      <c r="G228">
        <v>90</v>
      </c>
      <c r="H228">
        <f t="shared" ca="1" si="15"/>
        <v>630</v>
      </c>
      <c r="I228" t="s">
        <v>214</v>
      </c>
      <c r="J228" t="str">
        <f ca="1">VLOOKUP(B228,Customer_Data!$A:$D,4,FALSE)</f>
        <v>Silver</v>
      </c>
    </row>
    <row r="229" spans="1:10" x14ac:dyDescent="0.35">
      <c r="A229" t="s">
        <v>476</v>
      </c>
      <c r="B229" t="str">
        <f t="shared" ca="1" si="12"/>
        <v>CUST104</v>
      </c>
      <c r="C229" s="1">
        <f t="shared" ca="1" si="13"/>
        <v>45718</v>
      </c>
      <c r="D229" t="s">
        <v>1249</v>
      </c>
      <c r="E229" t="s">
        <v>1254</v>
      </c>
      <c r="F229">
        <f t="shared" ca="1" si="14"/>
        <v>2</v>
      </c>
      <c r="G229">
        <v>25</v>
      </c>
      <c r="H229">
        <f t="shared" ca="1" si="15"/>
        <v>50</v>
      </c>
      <c r="I229" t="s">
        <v>214</v>
      </c>
      <c r="J229" t="str">
        <f ca="1">VLOOKUP(B229,Customer_Data!$A:$D,4,FALSE)</f>
        <v>Regular</v>
      </c>
    </row>
    <row r="230" spans="1:10" x14ac:dyDescent="0.35">
      <c r="A230" t="s">
        <v>477</v>
      </c>
      <c r="B230" t="str">
        <f t="shared" ca="1" si="12"/>
        <v>CUST139</v>
      </c>
      <c r="C230" s="1">
        <f t="shared" ca="1" si="13"/>
        <v>45681</v>
      </c>
      <c r="D230" t="s">
        <v>1250</v>
      </c>
      <c r="E230" t="s">
        <v>1255</v>
      </c>
      <c r="F230">
        <f t="shared" ca="1" si="14"/>
        <v>4</v>
      </c>
      <c r="G230">
        <v>60</v>
      </c>
      <c r="H230">
        <f t="shared" ca="1" si="15"/>
        <v>240</v>
      </c>
      <c r="I230" t="s">
        <v>213</v>
      </c>
      <c r="J230" t="str">
        <f ca="1">VLOOKUP(B230,Customer_Data!$A:$D,4,FALSE)</f>
        <v>Gold</v>
      </c>
    </row>
    <row r="231" spans="1:10" x14ac:dyDescent="0.35">
      <c r="A231" t="s">
        <v>478</v>
      </c>
      <c r="B231" t="str">
        <f t="shared" ca="1" si="12"/>
        <v>CUST119</v>
      </c>
      <c r="C231" s="1">
        <f t="shared" ca="1" si="13"/>
        <v>45766</v>
      </c>
      <c r="D231" t="s">
        <v>1249</v>
      </c>
      <c r="E231" t="s">
        <v>1254</v>
      </c>
      <c r="F231">
        <f t="shared" ca="1" si="14"/>
        <v>4</v>
      </c>
      <c r="G231">
        <v>25</v>
      </c>
      <c r="H231">
        <f t="shared" ca="1" si="15"/>
        <v>100</v>
      </c>
      <c r="I231" t="s">
        <v>214</v>
      </c>
      <c r="J231" t="str">
        <f ca="1">VLOOKUP(B231,Customer_Data!$A:$D,4,FALSE)</f>
        <v>Gold</v>
      </c>
    </row>
    <row r="232" spans="1:10" x14ac:dyDescent="0.35">
      <c r="A232" t="s">
        <v>479</v>
      </c>
      <c r="B232" t="str">
        <f t="shared" ca="1" si="12"/>
        <v>CUST176</v>
      </c>
      <c r="C232" s="1">
        <f t="shared" ca="1" si="13"/>
        <v>45845</v>
      </c>
      <c r="D232" t="s">
        <v>1250</v>
      </c>
      <c r="E232" t="s">
        <v>1255</v>
      </c>
      <c r="F232">
        <f t="shared" ca="1" si="14"/>
        <v>6</v>
      </c>
      <c r="G232">
        <v>60</v>
      </c>
      <c r="H232">
        <f t="shared" ca="1" si="15"/>
        <v>360</v>
      </c>
      <c r="I232" t="s">
        <v>212</v>
      </c>
      <c r="J232" t="str">
        <f ca="1">VLOOKUP(B232,Customer_Data!$A:$D,4,FALSE)</f>
        <v>Silver</v>
      </c>
    </row>
    <row r="233" spans="1:10" x14ac:dyDescent="0.35">
      <c r="A233" t="s">
        <v>480</v>
      </c>
      <c r="B233" t="str">
        <f t="shared" ca="1" si="12"/>
        <v>CUST142</v>
      </c>
      <c r="C233" s="1">
        <f t="shared" ca="1" si="13"/>
        <v>45786</v>
      </c>
      <c r="D233" t="s">
        <v>1249</v>
      </c>
      <c r="E233" t="s">
        <v>1254</v>
      </c>
      <c r="F233">
        <f t="shared" ca="1" si="14"/>
        <v>1</v>
      </c>
      <c r="G233">
        <v>25</v>
      </c>
      <c r="H233">
        <f t="shared" ca="1" si="15"/>
        <v>25</v>
      </c>
      <c r="I233" t="s">
        <v>214</v>
      </c>
      <c r="J233" t="str">
        <f ca="1">VLOOKUP(B233,Customer_Data!$A:$D,4,FALSE)</f>
        <v>Regular</v>
      </c>
    </row>
    <row r="234" spans="1:10" x14ac:dyDescent="0.35">
      <c r="A234" t="s">
        <v>481</v>
      </c>
      <c r="B234" t="str">
        <f t="shared" ca="1" si="12"/>
        <v>CUST161</v>
      </c>
      <c r="C234" s="1">
        <f t="shared" ca="1" si="13"/>
        <v>45981</v>
      </c>
      <c r="D234" t="s">
        <v>1251</v>
      </c>
      <c r="E234" t="s">
        <v>1256</v>
      </c>
      <c r="F234">
        <f t="shared" ca="1" si="14"/>
        <v>3</v>
      </c>
      <c r="G234">
        <v>80</v>
      </c>
      <c r="H234">
        <f t="shared" ca="1" si="15"/>
        <v>240</v>
      </c>
      <c r="I234" t="s">
        <v>211</v>
      </c>
      <c r="J234" t="str">
        <f ca="1">VLOOKUP(B234,Customer_Data!$A:$D,4,FALSE)</f>
        <v>Regular</v>
      </c>
    </row>
    <row r="235" spans="1:10" x14ac:dyDescent="0.35">
      <c r="A235" t="s">
        <v>482</v>
      </c>
      <c r="B235" t="str">
        <f t="shared" ca="1" si="12"/>
        <v>CUST110</v>
      </c>
      <c r="C235" s="1">
        <f t="shared" ca="1" si="13"/>
        <v>45860</v>
      </c>
      <c r="D235" t="s">
        <v>1249</v>
      </c>
      <c r="E235" t="s">
        <v>1254</v>
      </c>
      <c r="F235">
        <f t="shared" ca="1" si="14"/>
        <v>7</v>
      </c>
      <c r="G235">
        <v>25</v>
      </c>
      <c r="H235">
        <f t="shared" ca="1" si="15"/>
        <v>175</v>
      </c>
      <c r="I235" t="s">
        <v>214</v>
      </c>
      <c r="J235" t="str">
        <f ca="1">VLOOKUP(B235,Customer_Data!$A:$D,4,FALSE)</f>
        <v>Regular</v>
      </c>
    </row>
    <row r="236" spans="1:10" x14ac:dyDescent="0.35">
      <c r="A236" t="s">
        <v>483</v>
      </c>
      <c r="B236" t="str">
        <f t="shared" ca="1" si="12"/>
        <v>CUST113</v>
      </c>
      <c r="C236" s="1">
        <f t="shared" ca="1" si="13"/>
        <v>45965</v>
      </c>
      <c r="D236" t="s">
        <v>1250</v>
      </c>
      <c r="E236" t="s">
        <v>1255</v>
      </c>
      <c r="F236">
        <f t="shared" ca="1" si="14"/>
        <v>5</v>
      </c>
      <c r="G236">
        <v>60</v>
      </c>
      <c r="H236">
        <f t="shared" ca="1" si="15"/>
        <v>300</v>
      </c>
      <c r="I236" t="s">
        <v>213</v>
      </c>
      <c r="J236" t="str">
        <f ca="1">VLOOKUP(B236,Customer_Data!$A:$D,4,FALSE)</f>
        <v>Silver</v>
      </c>
    </row>
    <row r="237" spans="1:10" x14ac:dyDescent="0.35">
      <c r="A237" t="s">
        <v>484</v>
      </c>
      <c r="B237" t="str">
        <f t="shared" ca="1" si="12"/>
        <v>CUST123</v>
      </c>
      <c r="C237" s="1">
        <f t="shared" ca="1" si="13"/>
        <v>45766</v>
      </c>
      <c r="D237" t="s">
        <v>1250</v>
      </c>
      <c r="E237" t="s">
        <v>1255</v>
      </c>
      <c r="F237">
        <f t="shared" ca="1" si="14"/>
        <v>1</v>
      </c>
      <c r="G237">
        <v>60</v>
      </c>
      <c r="H237">
        <f t="shared" ca="1" si="15"/>
        <v>60</v>
      </c>
      <c r="I237" t="s">
        <v>212</v>
      </c>
      <c r="J237" t="str">
        <f ca="1">VLOOKUP(B237,Customer_Data!$A:$D,4,FALSE)</f>
        <v>Regular</v>
      </c>
    </row>
    <row r="238" spans="1:10" x14ac:dyDescent="0.35">
      <c r="A238" t="s">
        <v>485</v>
      </c>
      <c r="B238" t="str">
        <f t="shared" ca="1" si="12"/>
        <v>CUST037</v>
      </c>
      <c r="C238" s="1">
        <f t="shared" ca="1" si="13"/>
        <v>45880</v>
      </c>
      <c r="D238" t="s">
        <v>1252</v>
      </c>
      <c r="E238" t="s">
        <v>1257</v>
      </c>
      <c r="F238">
        <f t="shared" ca="1" si="14"/>
        <v>3</v>
      </c>
      <c r="G238">
        <v>120</v>
      </c>
      <c r="H238">
        <f t="shared" ca="1" si="15"/>
        <v>360</v>
      </c>
      <c r="I238" t="s">
        <v>211</v>
      </c>
      <c r="J238" t="str">
        <f ca="1">VLOOKUP(B238,Customer_Data!$A:$D,4,FALSE)</f>
        <v>Silver</v>
      </c>
    </row>
    <row r="239" spans="1:10" x14ac:dyDescent="0.35">
      <c r="A239" t="s">
        <v>486</v>
      </c>
      <c r="B239" t="str">
        <f t="shared" ca="1" si="12"/>
        <v>CUST134</v>
      </c>
      <c r="C239" s="1">
        <f t="shared" ca="1" si="13"/>
        <v>45793</v>
      </c>
      <c r="D239" t="s">
        <v>1253</v>
      </c>
      <c r="E239" t="s">
        <v>1258</v>
      </c>
      <c r="F239">
        <f t="shared" ca="1" si="14"/>
        <v>6</v>
      </c>
      <c r="G239">
        <v>90</v>
      </c>
      <c r="H239">
        <f t="shared" ca="1" si="15"/>
        <v>540</v>
      </c>
      <c r="I239" t="s">
        <v>214</v>
      </c>
      <c r="J239" t="str">
        <f ca="1">VLOOKUP(B239,Customer_Data!$A:$D,4,FALSE)</f>
        <v>Silver</v>
      </c>
    </row>
    <row r="240" spans="1:10" x14ac:dyDescent="0.35">
      <c r="A240" t="s">
        <v>487</v>
      </c>
      <c r="B240" t="str">
        <f t="shared" ca="1" si="12"/>
        <v>CUST087</v>
      </c>
      <c r="C240" s="1">
        <f t="shared" ca="1" si="13"/>
        <v>45687</v>
      </c>
      <c r="D240" t="s">
        <v>1251</v>
      </c>
      <c r="E240" t="s">
        <v>1256</v>
      </c>
      <c r="F240">
        <f t="shared" ca="1" si="14"/>
        <v>8</v>
      </c>
      <c r="G240">
        <v>80</v>
      </c>
      <c r="H240">
        <f t="shared" ca="1" si="15"/>
        <v>640</v>
      </c>
      <c r="I240" t="s">
        <v>214</v>
      </c>
      <c r="J240" t="str">
        <f ca="1">VLOOKUP(B240,Customer_Data!$A:$D,4,FALSE)</f>
        <v>Regular</v>
      </c>
    </row>
    <row r="241" spans="1:10" x14ac:dyDescent="0.35">
      <c r="A241" t="s">
        <v>488</v>
      </c>
      <c r="B241" t="str">
        <f t="shared" ca="1" si="12"/>
        <v>CUST033</v>
      </c>
      <c r="C241" s="1">
        <f t="shared" ca="1" si="13"/>
        <v>45945</v>
      </c>
      <c r="D241" t="s">
        <v>1253</v>
      </c>
      <c r="E241" t="s">
        <v>1258</v>
      </c>
      <c r="F241">
        <f t="shared" ca="1" si="14"/>
        <v>5</v>
      </c>
      <c r="G241">
        <v>90</v>
      </c>
      <c r="H241">
        <f t="shared" ca="1" si="15"/>
        <v>450</v>
      </c>
      <c r="I241" t="s">
        <v>214</v>
      </c>
      <c r="J241" t="str">
        <f ca="1">VLOOKUP(B241,Customer_Data!$A:$D,4,FALSE)</f>
        <v>Silver</v>
      </c>
    </row>
    <row r="242" spans="1:10" x14ac:dyDescent="0.35">
      <c r="A242" t="s">
        <v>489</v>
      </c>
      <c r="B242" t="str">
        <f t="shared" ca="1" si="12"/>
        <v>CUST043</v>
      </c>
      <c r="C242" s="1">
        <f t="shared" ca="1" si="13"/>
        <v>45942</v>
      </c>
      <c r="D242" t="s">
        <v>1253</v>
      </c>
      <c r="E242" t="s">
        <v>1258</v>
      </c>
      <c r="F242">
        <f t="shared" ca="1" si="14"/>
        <v>5</v>
      </c>
      <c r="G242">
        <v>90</v>
      </c>
      <c r="H242">
        <f t="shared" ca="1" si="15"/>
        <v>450</v>
      </c>
      <c r="I242" t="s">
        <v>213</v>
      </c>
      <c r="J242" t="str">
        <f ca="1">VLOOKUP(B242,Customer_Data!$A:$D,4,FALSE)</f>
        <v>Regular</v>
      </c>
    </row>
    <row r="243" spans="1:10" x14ac:dyDescent="0.35">
      <c r="A243" t="s">
        <v>490</v>
      </c>
      <c r="B243" t="str">
        <f t="shared" ca="1" si="12"/>
        <v>CUST133</v>
      </c>
      <c r="C243" s="1">
        <f t="shared" ca="1" si="13"/>
        <v>45896</v>
      </c>
      <c r="D243" t="s">
        <v>1249</v>
      </c>
      <c r="E243" t="s">
        <v>1254</v>
      </c>
      <c r="F243">
        <f t="shared" ca="1" si="14"/>
        <v>4</v>
      </c>
      <c r="G243">
        <v>25</v>
      </c>
      <c r="H243">
        <f t="shared" ca="1" si="15"/>
        <v>100</v>
      </c>
      <c r="I243" t="s">
        <v>214</v>
      </c>
      <c r="J243" t="str">
        <f ca="1">VLOOKUP(B243,Customer_Data!$A:$D,4,FALSE)</f>
        <v>Silver</v>
      </c>
    </row>
    <row r="244" spans="1:10" x14ac:dyDescent="0.35">
      <c r="A244" t="s">
        <v>491</v>
      </c>
      <c r="B244" t="str">
        <f t="shared" ca="1" si="12"/>
        <v>CUST183</v>
      </c>
      <c r="C244" s="1">
        <f t="shared" ca="1" si="13"/>
        <v>45900</v>
      </c>
      <c r="D244" t="s">
        <v>1253</v>
      </c>
      <c r="E244" t="s">
        <v>1258</v>
      </c>
      <c r="F244">
        <f t="shared" ca="1" si="14"/>
        <v>6</v>
      </c>
      <c r="G244">
        <v>90</v>
      </c>
      <c r="H244">
        <f t="shared" ca="1" si="15"/>
        <v>540</v>
      </c>
      <c r="I244" t="s">
        <v>213</v>
      </c>
      <c r="J244" t="str">
        <f ca="1">VLOOKUP(B244,Customer_Data!$A:$D,4,FALSE)</f>
        <v>Regular</v>
      </c>
    </row>
    <row r="245" spans="1:10" x14ac:dyDescent="0.35">
      <c r="A245" t="s">
        <v>492</v>
      </c>
      <c r="B245" t="str">
        <f t="shared" ca="1" si="12"/>
        <v>CUST164</v>
      </c>
      <c r="C245" s="1">
        <f t="shared" ca="1" si="13"/>
        <v>45865</v>
      </c>
      <c r="D245" t="s">
        <v>1249</v>
      </c>
      <c r="E245" t="s">
        <v>1254</v>
      </c>
      <c r="F245">
        <f t="shared" ca="1" si="14"/>
        <v>4</v>
      </c>
      <c r="G245">
        <v>25</v>
      </c>
      <c r="H245">
        <f t="shared" ca="1" si="15"/>
        <v>100</v>
      </c>
      <c r="I245" t="s">
        <v>211</v>
      </c>
      <c r="J245" t="str">
        <f ca="1">VLOOKUP(B245,Customer_Data!$A:$D,4,FALSE)</f>
        <v>Regular</v>
      </c>
    </row>
    <row r="246" spans="1:10" x14ac:dyDescent="0.35">
      <c r="A246" t="s">
        <v>493</v>
      </c>
      <c r="B246" t="str">
        <f t="shared" ca="1" si="12"/>
        <v>CUST061</v>
      </c>
      <c r="C246" s="1">
        <f t="shared" ca="1" si="13"/>
        <v>45869</v>
      </c>
      <c r="D246" t="s">
        <v>1251</v>
      </c>
      <c r="E246" t="s">
        <v>1256</v>
      </c>
      <c r="F246">
        <f t="shared" ca="1" si="14"/>
        <v>5</v>
      </c>
      <c r="G246">
        <v>80</v>
      </c>
      <c r="H246">
        <f t="shared" ca="1" si="15"/>
        <v>400</v>
      </c>
      <c r="I246" t="s">
        <v>214</v>
      </c>
      <c r="J246" t="str">
        <f ca="1">VLOOKUP(B246,Customer_Data!$A:$D,4,FALSE)</f>
        <v>Regular</v>
      </c>
    </row>
    <row r="247" spans="1:10" x14ac:dyDescent="0.35">
      <c r="A247" t="s">
        <v>494</v>
      </c>
      <c r="B247" t="str">
        <f t="shared" ca="1" si="12"/>
        <v>CUST080</v>
      </c>
      <c r="C247" s="1">
        <f t="shared" ca="1" si="13"/>
        <v>45899</v>
      </c>
      <c r="D247" t="s">
        <v>1253</v>
      </c>
      <c r="E247" t="s">
        <v>1258</v>
      </c>
      <c r="F247">
        <f t="shared" ca="1" si="14"/>
        <v>5</v>
      </c>
      <c r="G247">
        <v>90</v>
      </c>
      <c r="H247">
        <f t="shared" ca="1" si="15"/>
        <v>450</v>
      </c>
      <c r="I247" t="s">
        <v>211</v>
      </c>
      <c r="J247" t="str">
        <f ca="1">VLOOKUP(B247,Customer_Data!$A:$D,4,FALSE)</f>
        <v>Gold</v>
      </c>
    </row>
    <row r="248" spans="1:10" x14ac:dyDescent="0.35">
      <c r="A248" t="s">
        <v>495</v>
      </c>
      <c r="B248" t="str">
        <f t="shared" ca="1" si="12"/>
        <v>CUST191</v>
      </c>
      <c r="C248" s="1">
        <f t="shared" ca="1" si="13"/>
        <v>45870</v>
      </c>
      <c r="D248" t="s">
        <v>1250</v>
      </c>
      <c r="E248" t="s">
        <v>1255</v>
      </c>
      <c r="F248">
        <f t="shared" ca="1" si="14"/>
        <v>1</v>
      </c>
      <c r="G248">
        <v>60</v>
      </c>
      <c r="H248">
        <f t="shared" ca="1" si="15"/>
        <v>60</v>
      </c>
      <c r="I248" t="s">
        <v>212</v>
      </c>
      <c r="J248" t="str">
        <f ca="1">VLOOKUP(B248,Customer_Data!$A:$D,4,FALSE)</f>
        <v>Regular</v>
      </c>
    </row>
    <row r="249" spans="1:10" x14ac:dyDescent="0.35">
      <c r="A249" t="s">
        <v>496</v>
      </c>
      <c r="B249" t="str">
        <f t="shared" ca="1" si="12"/>
        <v>CUST110</v>
      </c>
      <c r="C249" s="1">
        <f t="shared" ca="1" si="13"/>
        <v>45715</v>
      </c>
      <c r="D249" t="s">
        <v>1253</v>
      </c>
      <c r="E249" t="s">
        <v>1258</v>
      </c>
      <c r="F249">
        <f t="shared" ca="1" si="14"/>
        <v>10</v>
      </c>
      <c r="G249">
        <v>90</v>
      </c>
      <c r="H249">
        <f t="shared" ca="1" si="15"/>
        <v>900</v>
      </c>
      <c r="I249" t="s">
        <v>214</v>
      </c>
      <c r="J249" t="str">
        <f ca="1">VLOOKUP(B249,Customer_Data!$A:$D,4,FALSE)</f>
        <v>Regular</v>
      </c>
    </row>
    <row r="250" spans="1:10" x14ac:dyDescent="0.35">
      <c r="A250" t="s">
        <v>497</v>
      </c>
      <c r="B250" t="str">
        <f t="shared" ca="1" si="12"/>
        <v>CUST005</v>
      </c>
      <c r="C250" s="1">
        <f t="shared" ca="1" si="13"/>
        <v>45893</v>
      </c>
      <c r="D250" t="s">
        <v>1251</v>
      </c>
      <c r="E250" t="s">
        <v>1256</v>
      </c>
      <c r="F250">
        <f t="shared" ca="1" si="14"/>
        <v>3</v>
      </c>
      <c r="G250">
        <v>80</v>
      </c>
      <c r="H250">
        <f t="shared" ca="1" si="15"/>
        <v>240</v>
      </c>
      <c r="I250" t="s">
        <v>214</v>
      </c>
      <c r="J250" t="str">
        <f ca="1">VLOOKUP(B250,Customer_Data!$A:$D,4,FALSE)</f>
        <v>Regular</v>
      </c>
    </row>
    <row r="251" spans="1:10" x14ac:dyDescent="0.35">
      <c r="A251" t="s">
        <v>498</v>
      </c>
      <c r="B251" t="str">
        <f t="shared" ca="1" si="12"/>
        <v>CUST050</v>
      </c>
      <c r="C251" s="1">
        <f t="shared" ca="1" si="13"/>
        <v>45756</v>
      </c>
      <c r="D251" t="s">
        <v>1249</v>
      </c>
      <c r="E251" t="s">
        <v>1254</v>
      </c>
      <c r="F251">
        <f t="shared" ca="1" si="14"/>
        <v>3</v>
      </c>
      <c r="G251">
        <v>25</v>
      </c>
      <c r="H251">
        <f t="shared" ca="1" si="15"/>
        <v>75</v>
      </c>
      <c r="I251" t="s">
        <v>214</v>
      </c>
      <c r="J251" t="str">
        <f ca="1">VLOOKUP(B251,Customer_Data!$A:$D,4,FALSE)</f>
        <v>Regular</v>
      </c>
    </row>
    <row r="252" spans="1:10" x14ac:dyDescent="0.35">
      <c r="A252" t="s">
        <v>499</v>
      </c>
      <c r="B252" t="str">
        <f t="shared" ca="1" si="12"/>
        <v>CUST116</v>
      </c>
      <c r="C252" s="1">
        <f t="shared" ca="1" si="13"/>
        <v>45746</v>
      </c>
      <c r="D252" t="s">
        <v>1250</v>
      </c>
      <c r="E252" t="s">
        <v>1255</v>
      </c>
      <c r="F252">
        <f t="shared" ca="1" si="14"/>
        <v>2</v>
      </c>
      <c r="G252">
        <v>60</v>
      </c>
      <c r="H252">
        <f t="shared" ca="1" si="15"/>
        <v>120</v>
      </c>
      <c r="I252" t="s">
        <v>211</v>
      </c>
      <c r="J252" t="str">
        <f ca="1">VLOOKUP(B252,Customer_Data!$A:$D,4,FALSE)</f>
        <v>Silver</v>
      </c>
    </row>
    <row r="253" spans="1:10" x14ac:dyDescent="0.35">
      <c r="A253" t="s">
        <v>500</v>
      </c>
      <c r="B253" t="str">
        <f t="shared" ca="1" si="12"/>
        <v>CUST110</v>
      </c>
      <c r="C253" s="1">
        <f t="shared" ca="1" si="13"/>
        <v>45787</v>
      </c>
      <c r="D253" t="s">
        <v>1250</v>
      </c>
      <c r="E253" t="s">
        <v>1255</v>
      </c>
      <c r="F253">
        <f t="shared" ca="1" si="14"/>
        <v>2</v>
      </c>
      <c r="G253">
        <v>60</v>
      </c>
      <c r="H253">
        <f t="shared" ca="1" si="15"/>
        <v>120</v>
      </c>
      <c r="I253" t="s">
        <v>212</v>
      </c>
      <c r="J253" t="str">
        <f ca="1">VLOOKUP(B253,Customer_Data!$A:$D,4,FALSE)</f>
        <v>Regular</v>
      </c>
    </row>
    <row r="254" spans="1:10" x14ac:dyDescent="0.35">
      <c r="A254" t="s">
        <v>501</v>
      </c>
      <c r="B254" t="str">
        <f t="shared" ca="1" si="12"/>
        <v>CUST169</v>
      </c>
      <c r="C254" s="1">
        <f t="shared" ca="1" si="13"/>
        <v>45720</v>
      </c>
      <c r="D254" t="s">
        <v>1253</v>
      </c>
      <c r="E254" t="s">
        <v>1258</v>
      </c>
      <c r="F254">
        <f t="shared" ca="1" si="14"/>
        <v>5</v>
      </c>
      <c r="G254">
        <v>90</v>
      </c>
      <c r="H254">
        <f t="shared" ca="1" si="15"/>
        <v>450</v>
      </c>
      <c r="I254" t="s">
        <v>214</v>
      </c>
      <c r="J254" t="str">
        <f ca="1">VLOOKUP(B254,Customer_Data!$A:$D,4,FALSE)</f>
        <v>Regular</v>
      </c>
    </row>
    <row r="255" spans="1:10" x14ac:dyDescent="0.35">
      <c r="A255" t="s">
        <v>502</v>
      </c>
      <c r="B255" t="str">
        <f t="shared" ca="1" si="12"/>
        <v>CUST141</v>
      </c>
      <c r="C255" s="1">
        <f t="shared" ca="1" si="13"/>
        <v>45757</v>
      </c>
      <c r="D255" t="s">
        <v>1251</v>
      </c>
      <c r="E255" t="s">
        <v>1256</v>
      </c>
      <c r="F255">
        <f t="shared" ca="1" si="14"/>
        <v>6</v>
      </c>
      <c r="G255">
        <v>80</v>
      </c>
      <c r="H255">
        <f t="shared" ca="1" si="15"/>
        <v>480</v>
      </c>
      <c r="I255" t="s">
        <v>214</v>
      </c>
      <c r="J255" t="str">
        <f ca="1">VLOOKUP(B255,Customer_Data!$A:$D,4,FALSE)</f>
        <v>Regular</v>
      </c>
    </row>
    <row r="256" spans="1:10" x14ac:dyDescent="0.35">
      <c r="A256" t="s">
        <v>503</v>
      </c>
      <c r="B256" t="str">
        <f t="shared" ca="1" si="12"/>
        <v>CUST124</v>
      </c>
      <c r="C256" s="1">
        <f t="shared" ca="1" si="13"/>
        <v>45821</v>
      </c>
      <c r="D256" t="s">
        <v>1249</v>
      </c>
      <c r="E256" t="s">
        <v>1254</v>
      </c>
      <c r="F256">
        <f t="shared" ca="1" si="14"/>
        <v>2</v>
      </c>
      <c r="G256">
        <v>25</v>
      </c>
      <c r="H256">
        <f t="shared" ca="1" si="15"/>
        <v>50</v>
      </c>
      <c r="I256" t="s">
        <v>213</v>
      </c>
      <c r="J256" t="str">
        <f ca="1">VLOOKUP(B256,Customer_Data!$A:$D,4,FALSE)</f>
        <v>Regular</v>
      </c>
    </row>
    <row r="257" spans="1:10" x14ac:dyDescent="0.35">
      <c r="A257" t="s">
        <v>504</v>
      </c>
      <c r="B257" t="str">
        <f t="shared" ca="1" si="12"/>
        <v>CUST060</v>
      </c>
      <c r="C257" s="1">
        <f t="shared" ca="1" si="13"/>
        <v>45690</v>
      </c>
      <c r="D257" t="s">
        <v>1251</v>
      </c>
      <c r="E257" t="s">
        <v>1256</v>
      </c>
      <c r="F257">
        <f t="shared" ca="1" si="14"/>
        <v>5</v>
      </c>
      <c r="G257">
        <v>80</v>
      </c>
      <c r="H257">
        <f t="shared" ca="1" si="15"/>
        <v>400</v>
      </c>
      <c r="I257" t="s">
        <v>214</v>
      </c>
      <c r="J257" t="str">
        <f ca="1">VLOOKUP(B257,Customer_Data!$A:$D,4,FALSE)</f>
        <v>Gold</v>
      </c>
    </row>
    <row r="258" spans="1:10" x14ac:dyDescent="0.35">
      <c r="A258" t="s">
        <v>505</v>
      </c>
      <c r="B258" t="str">
        <f t="shared" ca="1" si="12"/>
        <v>CUST098</v>
      </c>
      <c r="C258" s="1">
        <f t="shared" ca="1" si="13"/>
        <v>45911</v>
      </c>
      <c r="D258" t="s">
        <v>1252</v>
      </c>
      <c r="E258" t="s">
        <v>1257</v>
      </c>
      <c r="F258">
        <f t="shared" ca="1" si="14"/>
        <v>5</v>
      </c>
      <c r="G258">
        <v>120</v>
      </c>
      <c r="H258">
        <f t="shared" ca="1" si="15"/>
        <v>600</v>
      </c>
      <c r="I258" t="s">
        <v>214</v>
      </c>
      <c r="J258" t="str">
        <f ca="1">VLOOKUP(B258,Customer_Data!$A:$D,4,FALSE)</f>
        <v>Gold</v>
      </c>
    </row>
    <row r="259" spans="1:10" x14ac:dyDescent="0.35">
      <c r="A259" t="s">
        <v>506</v>
      </c>
      <c r="B259" t="str">
        <f t="shared" ref="B259:B322" ca="1" si="16">"CUST"&amp;TEXT(RANDBETWEEN(1,200),"000")</f>
        <v>CUST021</v>
      </c>
      <c r="C259" s="1">
        <f t="shared" ref="C259:C322" ca="1" si="17">DATE(2025,1,1)+RANDBETWEEN(0,364)</f>
        <v>45900</v>
      </c>
      <c r="D259" t="s">
        <v>1250</v>
      </c>
      <c r="E259" t="s">
        <v>1255</v>
      </c>
      <c r="F259">
        <f t="shared" ref="F259:F322" ca="1" si="18">RANDBETWEEN(1,10)</f>
        <v>7</v>
      </c>
      <c r="G259">
        <v>60</v>
      </c>
      <c r="H259">
        <f t="shared" ref="H259:H322" ca="1" si="19">F259*G259</f>
        <v>420</v>
      </c>
      <c r="I259" t="s">
        <v>214</v>
      </c>
      <c r="J259" t="str">
        <f ca="1">VLOOKUP(B259,Customer_Data!$A:$D,4,FALSE)</f>
        <v>Regular</v>
      </c>
    </row>
    <row r="260" spans="1:10" x14ac:dyDescent="0.35">
      <c r="A260" t="s">
        <v>507</v>
      </c>
      <c r="B260" t="str">
        <f t="shared" ca="1" si="16"/>
        <v>CUST039</v>
      </c>
      <c r="C260" s="1">
        <f t="shared" ca="1" si="17"/>
        <v>45966</v>
      </c>
      <c r="D260" t="s">
        <v>1251</v>
      </c>
      <c r="E260" t="s">
        <v>1256</v>
      </c>
      <c r="F260">
        <f t="shared" ca="1" si="18"/>
        <v>7</v>
      </c>
      <c r="G260">
        <v>80</v>
      </c>
      <c r="H260">
        <f t="shared" ca="1" si="19"/>
        <v>560</v>
      </c>
      <c r="I260" t="s">
        <v>211</v>
      </c>
      <c r="J260" t="str">
        <f ca="1">VLOOKUP(B260,Customer_Data!$A:$D,4,FALSE)</f>
        <v>Gold</v>
      </c>
    </row>
    <row r="261" spans="1:10" x14ac:dyDescent="0.35">
      <c r="A261" t="s">
        <v>508</v>
      </c>
      <c r="B261" t="str">
        <f t="shared" ca="1" si="16"/>
        <v>CUST073</v>
      </c>
      <c r="C261" s="1">
        <f t="shared" ca="1" si="17"/>
        <v>45798</v>
      </c>
      <c r="D261" t="s">
        <v>1249</v>
      </c>
      <c r="E261" t="s">
        <v>1254</v>
      </c>
      <c r="F261">
        <f t="shared" ca="1" si="18"/>
        <v>6</v>
      </c>
      <c r="G261">
        <v>25</v>
      </c>
      <c r="H261">
        <f t="shared" ca="1" si="19"/>
        <v>150</v>
      </c>
      <c r="I261" t="s">
        <v>213</v>
      </c>
      <c r="J261" t="str">
        <f ca="1">VLOOKUP(B261,Customer_Data!$A:$D,4,FALSE)</f>
        <v>Silver</v>
      </c>
    </row>
    <row r="262" spans="1:10" x14ac:dyDescent="0.35">
      <c r="A262" t="s">
        <v>509</v>
      </c>
      <c r="B262" t="str">
        <f t="shared" ca="1" si="16"/>
        <v>CUST124</v>
      </c>
      <c r="C262" s="1">
        <f t="shared" ca="1" si="17"/>
        <v>45735</v>
      </c>
      <c r="D262" t="s">
        <v>1253</v>
      </c>
      <c r="E262" t="s">
        <v>1258</v>
      </c>
      <c r="F262">
        <f t="shared" ca="1" si="18"/>
        <v>6</v>
      </c>
      <c r="G262">
        <v>90</v>
      </c>
      <c r="H262">
        <f t="shared" ca="1" si="19"/>
        <v>540</v>
      </c>
      <c r="I262" t="s">
        <v>211</v>
      </c>
      <c r="J262" t="str">
        <f ca="1">VLOOKUP(B262,Customer_Data!$A:$D,4,FALSE)</f>
        <v>Regular</v>
      </c>
    </row>
    <row r="263" spans="1:10" x14ac:dyDescent="0.35">
      <c r="A263" t="s">
        <v>510</v>
      </c>
      <c r="B263" t="str">
        <f t="shared" ca="1" si="16"/>
        <v>CUST089</v>
      </c>
      <c r="C263" s="1">
        <f t="shared" ca="1" si="17"/>
        <v>45659</v>
      </c>
      <c r="D263" t="s">
        <v>1249</v>
      </c>
      <c r="E263" t="s">
        <v>1254</v>
      </c>
      <c r="F263">
        <f t="shared" ca="1" si="18"/>
        <v>9</v>
      </c>
      <c r="G263">
        <v>25</v>
      </c>
      <c r="H263">
        <f t="shared" ca="1" si="19"/>
        <v>225</v>
      </c>
      <c r="I263" t="s">
        <v>214</v>
      </c>
      <c r="J263" t="str">
        <f ca="1">VLOOKUP(B263,Customer_Data!$A:$D,4,FALSE)</f>
        <v>Regular</v>
      </c>
    </row>
    <row r="264" spans="1:10" x14ac:dyDescent="0.35">
      <c r="A264" t="s">
        <v>511</v>
      </c>
      <c r="B264" t="str">
        <f t="shared" ca="1" si="16"/>
        <v>CUST177</v>
      </c>
      <c r="C264" s="1">
        <f t="shared" ca="1" si="17"/>
        <v>45838</v>
      </c>
      <c r="D264" t="s">
        <v>1251</v>
      </c>
      <c r="E264" t="s">
        <v>1256</v>
      </c>
      <c r="F264">
        <f t="shared" ca="1" si="18"/>
        <v>10</v>
      </c>
      <c r="G264">
        <v>80</v>
      </c>
      <c r="H264">
        <f t="shared" ca="1" si="19"/>
        <v>800</v>
      </c>
      <c r="I264" t="s">
        <v>211</v>
      </c>
      <c r="J264" t="str">
        <f ca="1">VLOOKUP(B264,Customer_Data!$A:$D,4,FALSE)</f>
        <v>Silver</v>
      </c>
    </row>
    <row r="265" spans="1:10" x14ac:dyDescent="0.35">
      <c r="A265" t="s">
        <v>512</v>
      </c>
      <c r="B265" t="str">
        <f t="shared" ca="1" si="16"/>
        <v>CUST141</v>
      </c>
      <c r="C265" s="1">
        <f t="shared" ca="1" si="17"/>
        <v>45686</v>
      </c>
      <c r="D265" t="s">
        <v>1249</v>
      </c>
      <c r="E265" t="s">
        <v>1254</v>
      </c>
      <c r="F265">
        <f t="shared" ca="1" si="18"/>
        <v>10</v>
      </c>
      <c r="G265">
        <v>25</v>
      </c>
      <c r="H265">
        <f t="shared" ca="1" si="19"/>
        <v>250</v>
      </c>
      <c r="I265" t="s">
        <v>212</v>
      </c>
      <c r="J265" t="str">
        <f ca="1">VLOOKUP(B265,Customer_Data!$A:$D,4,FALSE)</f>
        <v>Regular</v>
      </c>
    </row>
    <row r="266" spans="1:10" x14ac:dyDescent="0.35">
      <c r="A266" t="s">
        <v>513</v>
      </c>
      <c r="B266" t="str">
        <f t="shared" ca="1" si="16"/>
        <v>CUST150</v>
      </c>
      <c r="C266" s="1">
        <f t="shared" ca="1" si="17"/>
        <v>45664</v>
      </c>
      <c r="D266" t="s">
        <v>1252</v>
      </c>
      <c r="E266" t="s">
        <v>1257</v>
      </c>
      <c r="F266">
        <f t="shared" ca="1" si="18"/>
        <v>6</v>
      </c>
      <c r="G266">
        <v>120</v>
      </c>
      <c r="H266">
        <f t="shared" ca="1" si="19"/>
        <v>720</v>
      </c>
      <c r="I266" t="s">
        <v>214</v>
      </c>
      <c r="J266" t="str">
        <f ca="1">VLOOKUP(B266,Customer_Data!$A:$D,4,FALSE)</f>
        <v>Regular</v>
      </c>
    </row>
    <row r="267" spans="1:10" x14ac:dyDescent="0.35">
      <c r="A267" t="s">
        <v>514</v>
      </c>
      <c r="B267" t="str">
        <f t="shared" ca="1" si="16"/>
        <v>CUST040</v>
      </c>
      <c r="C267" s="1">
        <f t="shared" ca="1" si="17"/>
        <v>45748</v>
      </c>
      <c r="D267" t="s">
        <v>1253</v>
      </c>
      <c r="E267" t="s">
        <v>1258</v>
      </c>
      <c r="F267">
        <f t="shared" ca="1" si="18"/>
        <v>4</v>
      </c>
      <c r="G267">
        <v>90</v>
      </c>
      <c r="H267">
        <f t="shared" ca="1" si="19"/>
        <v>360</v>
      </c>
      <c r="I267" t="s">
        <v>213</v>
      </c>
      <c r="J267" t="str">
        <f ca="1">VLOOKUP(B267,Customer_Data!$A:$D,4,FALSE)</f>
        <v>Gold</v>
      </c>
    </row>
    <row r="268" spans="1:10" x14ac:dyDescent="0.35">
      <c r="A268" t="s">
        <v>515</v>
      </c>
      <c r="B268" t="str">
        <f t="shared" ca="1" si="16"/>
        <v>CUST033</v>
      </c>
      <c r="C268" s="1">
        <f t="shared" ca="1" si="17"/>
        <v>45698</v>
      </c>
      <c r="D268" t="s">
        <v>1253</v>
      </c>
      <c r="E268" t="s">
        <v>1258</v>
      </c>
      <c r="F268">
        <f t="shared" ca="1" si="18"/>
        <v>1</v>
      </c>
      <c r="G268">
        <v>90</v>
      </c>
      <c r="H268">
        <f t="shared" ca="1" si="19"/>
        <v>90</v>
      </c>
      <c r="I268" t="s">
        <v>213</v>
      </c>
      <c r="J268" t="str">
        <f ca="1">VLOOKUP(B268,Customer_Data!$A:$D,4,FALSE)</f>
        <v>Silver</v>
      </c>
    </row>
    <row r="269" spans="1:10" x14ac:dyDescent="0.35">
      <c r="A269" t="s">
        <v>516</v>
      </c>
      <c r="B269" t="str">
        <f t="shared" ca="1" si="16"/>
        <v>CUST173</v>
      </c>
      <c r="C269" s="1">
        <f t="shared" ca="1" si="17"/>
        <v>45743</v>
      </c>
      <c r="D269" t="s">
        <v>1250</v>
      </c>
      <c r="E269" t="s">
        <v>1255</v>
      </c>
      <c r="F269">
        <f t="shared" ca="1" si="18"/>
        <v>10</v>
      </c>
      <c r="G269">
        <v>60</v>
      </c>
      <c r="H269">
        <f t="shared" ca="1" si="19"/>
        <v>600</v>
      </c>
      <c r="I269" t="s">
        <v>214</v>
      </c>
      <c r="J269" t="str">
        <f ca="1">VLOOKUP(B269,Customer_Data!$A:$D,4,FALSE)</f>
        <v>Silver</v>
      </c>
    </row>
    <row r="270" spans="1:10" x14ac:dyDescent="0.35">
      <c r="A270" t="s">
        <v>517</v>
      </c>
      <c r="B270" t="str">
        <f t="shared" ca="1" si="16"/>
        <v>CUST042</v>
      </c>
      <c r="C270" s="1">
        <f t="shared" ca="1" si="17"/>
        <v>45889</v>
      </c>
      <c r="D270" t="s">
        <v>1251</v>
      </c>
      <c r="E270" t="s">
        <v>1256</v>
      </c>
      <c r="F270">
        <f t="shared" ca="1" si="18"/>
        <v>8</v>
      </c>
      <c r="G270">
        <v>80</v>
      </c>
      <c r="H270">
        <f t="shared" ca="1" si="19"/>
        <v>640</v>
      </c>
      <c r="I270" t="s">
        <v>213</v>
      </c>
      <c r="J270" t="str">
        <f ca="1">VLOOKUP(B270,Customer_Data!$A:$D,4,FALSE)</f>
        <v>Regular</v>
      </c>
    </row>
    <row r="271" spans="1:10" x14ac:dyDescent="0.35">
      <c r="A271" t="s">
        <v>518</v>
      </c>
      <c r="B271" t="str">
        <f t="shared" ca="1" si="16"/>
        <v>CUST038</v>
      </c>
      <c r="C271" s="1">
        <f t="shared" ca="1" si="17"/>
        <v>45923</v>
      </c>
      <c r="D271" t="s">
        <v>1249</v>
      </c>
      <c r="E271" t="s">
        <v>1254</v>
      </c>
      <c r="F271">
        <f t="shared" ca="1" si="18"/>
        <v>5</v>
      </c>
      <c r="G271">
        <v>25</v>
      </c>
      <c r="H271">
        <f t="shared" ca="1" si="19"/>
        <v>125</v>
      </c>
      <c r="I271" t="s">
        <v>211</v>
      </c>
      <c r="J271" t="str">
        <f ca="1">VLOOKUP(B271,Customer_Data!$A:$D,4,FALSE)</f>
        <v>Gold</v>
      </c>
    </row>
    <row r="272" spans="1:10" x14ac:dyDescent="0.35">
      <c r="A272" t="s">
        <v>519</v>
      </c>
      <c r="B272" t="str">
        <f t="shared" ca="1" si="16"/>
        <v>CUST147</v>
      </c>
      <c r="C272" s="1">
        <f t="shared" ca="1" si="17"/>
        <v>45989</v>
      </c>
      <c r="D272" t="s">
        <v>1252</v>
      </c>
      <c r="E272" t="s">
        <v>1257</v>
      </c>
      <c r="F272">
        <f t="shared" ca="1" si="18"/>
        <v>1</v>
      </c>
      <c r="G272">
        <v>120</v>
      </c>
      <c r="H272">
        <f t="shared" ca="1" si="19"/>
        <v>120</v>
      </c>
      <c r="I272" t="s">
        <v>214</v>
      </c>
      <c r="J272" t="str">
        <f ca="1">VLOOKUP(B272,Customer_Data!$A:$D,4,FALSE)</f>
        <v>Regular</v>
      </c>
    </row>
    <row r="273" spans="1:10" x14ac:dyDescent="0.35">
      <c r="A273" t="s">
        <v>520</v>
      </c>
      <c r="B273" t="str">
        <f t="shared" ca="1" si="16"/>
        <v>CUST194</v>
      </c>
      <c r="C273" s="1">
        <f t="shared" ca="1" si="17"/>
        <v>45774</v>
      </c>
      <c r="D273" t="s">
        <v>1253</v>
      </c>
      <c r="E273" t="s">
        <v>1258</v>
      </c>
      <c r="F273">
        <f t="shared" ca="1" si="18"/>
        <v>5</v>
      </c>
      <c r="G273">
        <v>90</v>
      </c>
      <c r="H273">
        <f t="shared" ca="1" si="19"/>
        <v>450</v>
      </c>
      <c r="I273" t="s">
        <v>212</v>
      </c>
      <c r="J273" t="str">
        <f ca="1">VLOOKUP(B273,Customer_Data!$A:$D,4,FALSE)</f>
        <v>Silver</v>
      </c>
    </row>
    <row r="274" spans="1:10" x14ac:dyDescent="0.35">
      <c r="A274" t="s">
        <v>521</v>
      </c>
      <c r="B274" t="str">
        <f t="shared" ca="1" si="16"/>
        <v>CUST019</v>
      </c>
      <c r="C274" s="1">
        <f t="shared" ca="1" si="17"/>
        <v>46010</v>
      </c>
      <c r="D274" t="s">
        <v>1252</v>
      </c>
      <c r="E274" t="s">
        <v>1257</v>
      </c>
      <c r="F274">
        <f t="shared" ca="1" si="18"/>
        <v>8</v>
      </c>
      <c r="G274">
        <v>120</v>
      </c>
      <c r="H274">
        <f t="shared" ca="1" si="19"/>
        <v>960</v>
      </c>
      <c r="I274" t="s">
        <v>211</v>
      </c>
      <c r="J274" t="str">
        <f ca="1">VLOOKUP(B274,Customer_Data!$A:$D,4,FALSE)</f>
        <v>Gold</v>
      </c>
    </row>
    <row r="275" spans="1:10" x14ac:dyDescent="0.35">
      <c r="A275" t="s">
        <v>522</v>
      </c>
      <c r="B275" t="str">
        <f t="shared" ca="1" si="16"/>
        <v>CUST108</v>
      </c>
      <c r="C275" s="1">
        <f t="shared" ca="1" si="17"/>
        <v>45985</v>
      </c>
      <c r="D275" t="s">
        <v>1252</v>
      </c>
      <c r="E275" t="s">
        <v>1257</v>
      </c>
      <c r="F275">
        <f t="shared" ca="1" si="18"/>
        <v>9</v>
      </c>
      <c r="G275">
        <v>120</v>
      </c>
      <c r="H275">
        <f t="shared" ca="1" si="19"/>
        <v>1080</v>
      </c>
      <c r="I275" t="s">
        <v>213</v>
      </c>
      <c r="J275" t="str">
        <f ca="1">VLOOKUP(B275,Customer_Data!$A:$D,4,FALSE)</f>
        <v>Regular</v>
      </c>
    </row>
    <row r="276" spans="1:10" x14ac:dyDescent="0.35">
      <c r="A276" t="s">
        <v>523</v>
      </c>
      <c r="B276" t="str">
        <f t="shared" ca="1" si="16"/>
        <v>CUST154</v>
      </c>
      <c r="C276" s="1">
        <f t="shared" ca="1" si="17"/>
        <v>45794</v>
      </c>
      <c r="D276" t="s">
        <v>1252</v>
      </c>
      <c r="E276" t="s">
        <v>1257</v>
      </c>
      <c r="F276">
        <f t="shared" ca="1" si="18"/>
        <v>6</v>
      </c>
      <c r="G276">
        <v>120</v>
      </c>
      <c r="H276">
        <f t="shared" ca="1" si="19"/>
        <v>720</v>
      </c>
      <c r="I276" t="s">
        <v>211</v>
      </c>
      <c r="J276" t="str">
        <f ca="1">VLOOKUP(B276,Customer_Data!$A:$D,4,FALSE)</f>
        <v>Silver</v>
      </c>
    </row>
    <row r="277" spans="1:10" x14ac:dyDescent="0.35">
      <c r="A277" t="s">
        <v>524</v>
      </c>
      <c r="B277" t="str">
        <f t="shared" ca="1" si="16"/>
        <v>CUST049</v>
      </c>
      <c r="C277" s="1">
        <f t="shared" ca="1" si="17"/>
        <v>45836</v>
      </c>
      <c r="D277" t="s">
        <v>1250</v>
      </c>
      <c r="E277" t="s">
        <v>1255</v>
      </c>
      <c r="F277">
        <f t="shared" ca="1" si="18"/>
        <v>9</v>
      </c>
      <c r="G277">
        <v>60</v>
      </c>
      <c r="H277">
        <f t="shared" ca="1" si="19"/>
        <v>540</v>
      </c>
      <c r="I277" t="s">
        <v>214</v>
      </c>
      <c r="J277" t="str">
        <f ca="1">VLOOKUP(B277,Customer_Data!$A:$D,4,FALSE)</f>
        <v>Regular</v>
      </c>
    </row>
    <row r="278" spans="1:10" x14ac:dyDescent="0.35">
      <c r="A278" t="s">
        <v>525</v>
      </c>
      <c r="B278" t="str">
        <f t="shared" ca="1" si="16"/>
        <v>CUST120</v>
      </c>
      <c r="C278" s="1">
        <f t="shared" ca="1" si="17"/>
        <v>45918</v>
      </c>
      <c r="D278" t="s">
        <v>1253</v>
      </c>
      <c r="E278" t="s">
        <v>1258</v>
      </c>
      <c r="F278">
        <f t="shared" ca="1" si="18"/>
        <v>1</v>
      </c>
      <c r="G278">
        <v>90</v>
      </c>
      <c r="H278">
        <f t="shared" ca="1" si="19"/>
        <v>90</v>
      </c>
      <c r="I278" t="s">
        <v>211</v>
      </c>
      <c r="J278" t="str">
        <f ca="1">VLOOKUP(B278,Customer_Data!$A:$D,4,FALSE)</f>
        <v>Gold</v>
      </c>
    </row>
    <row r="279" spans="1:10" x14ac:dyDescent="0.35">
      <c r="A279" t="s">
        <v>526</v>
      </c>
      <c r="B279" t="str">
        <f t="shared" ca="1" si="16"/>
        <v>CUST154</v>
      </c>
      <c r="C279" s="1">
        <f t="shared" ca="1" si="17"/>
        <v>45943</v>
      </c>
      <c r="D279" t="s">
        <v>1250</v>
      </c>
      <c r="E279" t="s">
        <v>1255</v>
      </c>
      <c r="F279">
        <f t="shared" ca="1" si="18"/>
        <v>1</v>
      </c>
      <c r="G279">
        <v>60</v>
      </c>
      <c r="H279">
        <f t="shared" ca="1" si="19"/>
        <v>60</v>
      </c>
      <c r="I279" t="s">
        <v>212</v>
      </c>
      <c r="J279" t="str">
        <f ca="1">VLOOKUP(B279,Customer_Data!$A:$D,4,FALSE)</f>
        <v>Silver</v>
      </c>
    </row>
    <row r="280" spans="1:10" x14ac:dyDescent="0.35">
      <c r="A280" t="s">
        <v>527</v>
      </c>
      <c r="B280" t="str">
        <f t="shared" ca="1" si="16"/>
        <v>CUST051</v>
      </c>
      <c r="C280" s="1">
        <f t="shared" ca="1" si="17"/>
        <v>45830</v>
      </c>
      <c r="D280" t="s">
        <v>1249</v>
      </c>
      <c r="E280" t="s">
        <v>1254</v>
      </c>
      <c r="F280">
        <f t="shared" ca="1" si="18"/>
        <v>5</v>
      </c>
      <c r="G280">
        <v>25</v>
      </c>
      <c r="H280">
        <f t="shared" ca="1" si="19"/>
        <v>125</v>
      </c>
      <c r="I280" t="s">
        <v>214</v>
      </c>
      <c r="J280" t="str">
        <f ca="1">VLOOKUP(B280,Customer_Data!$A:$D,4,FALSE)</f>
        <v>Regular</v>
      </c>
    </row>
    <row r="281" spans="1:10" x14ac:dyDescent="0.35">
      <c r="A281" t="s">
        <v>528</v>
      </c>
      <c r="B281" t="str">
        <f t="shared" ca="1" si="16"/>
        <v>CUST015</v>
      </c>
      <c r="C281" s="1">
        <f t="shared" ca="1" si="17"/>
        <v>45842</v>
      </c>
      <c r="D281" t="s">
        <v>1252</v>
      </c>
      <c r="E281" t="s">
        <v>1257</v>
      </c>
      <c r="F281">
        <f t="shared" ca="1" si="18"/>
        <v>6</v>
      </c>
      <c r="G281">
        <v>120</v>
      </c>
      <c r="H281">
        <f t="shared" ca="1" si="19"/>
        <v>720</v>
      </c>
      <c r="I281" t="s">
        <v>214</v>
      </c>
      <c r="J281" t="str">
        <f ca="1">VLOOKUP(B281,Customer_Data!$A:$D,4,FALSE)</f>
        <v>Silver</v>
      </c>
    </row>
    <row r="282" spans="1:10" x14ac:dyDescent="0.35">
      <c r="A282" t="s">
        <v>529</v>
      </c>
      <c r="B282" t="str">
        <f t="shared" ca="1" si="16"/>
        <v>CUST184</v>
      </c>
      <c r="C282" s="1">
        <f t="shared" ca="1" si="17"/>
        <v>45957</v>
      </c>
      <c r="D282" t="s">
        <v>1252</v>
      </c>
      <c r="E282" t="s">
        <v>1257</v>
      </c>
      <c r="F282">
        <f t="shared" ca="1" si="18"/>
        <v>7</v>
      </c>
      <c r="G282">
        <v>120</v>
      </c>
      <c r="H282">
        <f t="shared" ca="1" si="19"/>
        <v>840</v>
      </c>
      <c r="I282" t="s">
        <v>214</v>
      </c>
      <c r="J282" t="str">
        <f ca="1">VLOOKUP(B282,Customer_Data!$A:$D,4,FALSE)</f>
        <v>Regular</v>
      </c>
    </row>
    <row r="283" spans="1:10" x14ac:dyDescent="0.35">
      <c r="A283" t="s">
        <v>530</v>
      </c>
      <c r="B283" t="str">
        <f t="shared" ca="1" si="16"/>
        <v>CUST180</v>
      </c>
      <c r="C283" s="1">
        <f t="shared" ca="1" si="17"/>
        <v>45933</v>
      </c>
      <c r="D283" t="s">
        <v>1250</v>
      </c>
      <c r="E283" t="s">
        <v>1255</v>
      </c>
      <c r="F283">
        <f t="shared" ca="1" si="18"/>
        <v>10</v>
      </c>
      <c r="G283">
        <v>60</v>
      </c>
      <c r="H283">
        <f t="shared" ca="1" si="19"/>
        <v>600</v>
      </c>
      <c r="I283" t="s">
        <v>214</v>
      </c>
      <c r="J283" t="str">
        <f ca="1">VLOOKUP(B283,Customer_Data!$A:$D,4,FALSE)</f>
        <v>Gold</v>
      </c>
    </row>
    <row r="284" spans="1:10" x14ac:dyDescent="0.35">
      <c r="A284" t="s">
        <v>531</v>
      </c>
      <c r="B284" t="str">
        <f t="shared" ca="1" si="16"/>
        <v>CUST027</v>
      </c>
      <c r="C284" s="1">
        <f t="shared" ca="1" si="17"/>
        <v>45865</v>
      </c>
      <c r="D284" t="s">
        <v>1250</v>
      </c>
      <c r="E284" t="s">
        <v>1255</v>
      </c>
      <c r="F284">
        <f t="shared" ca="1" si="18"/>
        <v>3</v>
      </c>
      <c r="G284">
        <v>60</v>
      </c>
      <c r="H284">
        <f t="shared" ca="1" si="19"/>
        <v>180</v>
      </c>
      <c r="I284" t="s">
        <v>211</v>
      </c>
      <c r="J284" t="str">
        <f ca="1">VLOOKUP(B284,Customer_Data!$A:$D,4,FALSE)</f>
        <v>Regular</v>
      </c>
    </row>
    <row r="285" spans="1:10" x14ac:dyDescent="0.35">
      <c r="A285" t="s">
        <v>532</v>
      </c>
      <c r="B285" t="str">
        <f t="shared" ca="1" si="16"/>
        <v>CUST008</v>
      </c>
      <c r="C285" s="1">
        <f t="shared" ca="1" si="17"/>
        <v>45840</v>
      </c>
      <c r="D285" t="s">
        <v>1252</v>
      </c>
      <c r="E285" t="s">
        <v>1257</v>
      </c>
      <c r="F285">
        <f t="shared" ca="1" si="18"/>
        <v>10</v>
      </c>
      <c r="G285">
        <v>120</v>
      </c>
      <c r="H285">
        <f t="shared" ca="1" si="19"/>
        <v>1200</v>
      </c>
      <c r="I285" t="s">
        <v>211</v>
      </c>
      <c r="J285" t="str">
        <f ca="1">VLOOKUP(B285,Customer_Data!$A:$D,4,FALSE)</f>
        <v>Regular</v>
      </c>
    </row>
    <row r="286" spans="1:10" x14ac:dyDescent="0.35">
      <c r="A286" t="s">
        <v>533</v>
      </c>
      <c r="B286" t="str">
        <f t="shared" ca="1" si="16"/>
        <v>CUST185</v>
      </c>
      <c r="C286" s="1">
        <f t="shared" ca="1" si="17"/>
        <v>45891</v>
      </c>
      <c r="D286" t="s">
        <v>1251</v>
      </c>
      <c r="E286" t="s">
        <v>1256</v>
      </c>
      <c r="F286">
        <f t="shared" ca="1" si="18"/>
        <v>2</v>
      </c>
      <c r="G286">
        <v>80</v>
      </c>
      <c r="H286">
        <f t="shared" ca="1" si="19"/>
        <v>160</v>
      </c>
      <c r="I286" t="s">
        <v>213</v>
      </c>
      <c r="J286" t="str">
        <f ca="1">VLOOKUP(B286,Customer_Data!$A:$D,4,FALSE)</f>
        <v>Regular</v>
      </c>
    </row>
    <row r="287" spans="1:10" x14ac:dyDescent="0.35">
      <c r="A287" t="s">
        <v>534</v>
      </c>
      <c r="B287" t="str">
        <f t="shared" ca="1" si="16"/>
        <v>CUST036</v>
      </c>
      <c r="C287" s="1">
        <f t="shared" ca="1" si="17"/>
        <v>45717</v>
      </c>
      <c r="D287" t="s">
        <v>1253</v>
      </c>
      <c r="E287" t="s">
        <v>1258</v>
      </c>
      <c r="F287">
        <f t="shared" ca="1" si="18"/>
        <v>6</v>
      </c>
      <c r="G287">
        <v>90</v>
      </c>
      <c r="H287">
        <f t="shared" ca="1" si="19"/>
        <v>540</v>
      </c>
      <c r="I287" t="s">
        <v>211</v>
      </c>
      <c r="J287" t="str">
        <f ca="1">VLOOKUP(B287,Customer_Data!$A:$D,4,FALSE)</f>
        <v>Silver</v>
      </c>
    </row>
    <row r="288" spans="1:10" x14ac:dyDescent="0.35">
      <c r="A288" t="s">
        <v>535</v>
      </c>
      <c r="B288" t="str">
        <f t="shared" ca="1" si="16"/>
        <v>CUST125</v>
      </c>
      <c r="C288" s="1">
        <f t="shared" ca="1" si="17"/>
        <v>45988</v>
      </c>
      <c r="D288" t="s">
        <v>1253</v>
      </c>
      <c r="E288" t="s">
        <v>1258</v>
      </c>
      <c r="F288">
        <f t="shared" ca="1" si="18"/>
        <v>7</v>
      </c>
      <c r="G288">
        <v>90</v>
      </c>
      <c r="H288">
        <f t="shared" ca="1" si="19"/>
        <v>630</v>
      </c>
      <c r="I288" t="s">
        <v>212</v>
      </c>
      <c r="J288" t="str">
        <f ca="1">VLOOKUP(B288,Customer_Data!$A:$D,4,FALSE)</f>
        <v>Regular</v>
      </c>
    </row>
    <row r="289" spans="1:10" x14ac:dyDescent="0.35">
      <c r="A289" t="s">
        <v>536</v>
      </c>
      <c r="B289" t="str">
        <f t="shared" ca="1" si="16"/>
        <v>CUST063</v>
      </c>
      <c r="C289" s="1">
        <f t="shared" ca="1" si="17"/>
        <v>45922</v>
      </c>
      <c r="D289" t="s">
        <v>1250</v>
      </c>
      <c r="E289" t="s">
        <v>1255</v>
      </c>
      <c r="F289">
        <f t="shared" ca="1" si="18"/>
        <v>3</v>
      </c>
      <c r="G289">
        <v>60</v>
      </c>
      <c r="H289">
        <f t="shared" ca="1" si="19"/>
        <v>180</v>
      </c>
      <c r="I289" t="s">
        <v>211</v>
      </c>
      <c r="J289" t="str">
        <f ca="1">VLOOKUP(B289,Customer_Data!$A:$D,4,FALSE)</f>
        <v>Regular</v>
      </c>
    </row>
    <row r="290" spans="1:10" x14ac:dyDescent="0.35">
      <c r="A290" t="s">
        <v>537</v>
      </c>
      <c r="B290" t="str">
        <f t="shared" ca="1" si="16"/>
        <v>CUST164</v>
      </c>
      <c r="C290" s="1">
        <f t="shared" ca="1" si="17"/>
        <v>45675</v>
      </c>
      <c r="D290" t="s">
        <v>1249</v>
      </c>
      <c r="E290" t="s">
        <v>1254</v>
      </c>
      <c r="F290">
        <f t="shared" ca="1" si="18"/>
        <v>1</v>
      </c>
      <c r="G290">
        <v>25</v>
      </c>
      <c r="H290">
        <f t="shared" ca="1" si="19"/>
        <v>25</v>
      </c>
      <c r="I290" t="s">
        <v>214</v>
      </c>
      <c r="J290" t="str">
        <f ca="1">VLOOKUP(B290,Customer_Data!$A:$D,4,FALSE)</f>
        <v>Regular</v>
      </c>
    </row>
    <row r="291" spans="1:10" x14ac:dyDescent="0.35">
      <c r="A291" t="s">
        <v>538</v>
      </c>
      <c r="B291" t="str">
        <f t="shared" ca="1" si="16"/>
        <v>CUST011</v>
      </c>
      <c r="C291" s="1">
        <f t="shared" ca="1" si="17"/>
        <v>45932</v>
      </c>
      <c r="D291" t="s">
        <v>1250</v>
      </c>
      <c r="E291" t="s">
        <v>1255</v>
      </c>
      <c r="F291">
        <f t="shared" ca="1" si="18"/>
        <v>9</v>
      </c>
      <c r="G291">
        <v>60</v>
      </c>
      <c r="H291">
        <f t="shared" ca="1" si="19"/>
        <v>540</v>
      </c>
      <c r="I291" t="s">
        <v>212</v>
      </c>
      <c r="J291" t="str">
        <f ca="1">VLOOKUP(B291,Customer_Data!$A:$D,4,FALSE)</f>
        <v>Regular</v>
      </c>
    </row>
    <row r="292" spans="1:10" x14ac:dyDescent="0.35">
      <c r="A292" t="s">
        <v>539</v>
      </c>
      <c r="B292" t="str">
        <f t="shared" ca="1" si="16"/>
        <v>CUST143</v>
      </c>
      <c r="C292" s="1">
        <f t="shared" ca="1" si="17"/>
        <v>45904</v>
      </c>
      <c r="D292" t="s">
        <v>1249</v>
      </c>
      <c r="E292" t="s">
        <v>1254</v>
      </c>
      <c r="F292">
        <f t="shared" ca="1" si="18"/>
        <v>1</v>
      </c>
      <c r="G292">
        <v>25</v>
      </c>
      <c r="H292">
        <f t="shared" ca="1" si="19"/>
        <v>25</v>
      </c>
      <c r="I292" t="s">
        <v>211</v>
      </c>
      <c r="J292" t="str">
        <f ca="1">VLOOKUP(B292,Customer_Data!$A:$D,4,FALSE)</f>
        <v>Regular</v>
      </c>
    </row>
    <row r="293" spans="1:10" x14ac:dyDescent="0.35">
      <c r="A293" t="s">
        <v>540</v>
      </c>
      <c r="B293" t="str">
        <f t="shared" ca="1" si="16"/>
        <v>CUST179</v>
      </c>
      <c r="C293" s="1">
        <f t="shared" ca="1" si="17"/>
        <v>45971</v>
      </c>
      <c r="D293" t="s">
        <v>1249</v>
      </c>
      <c r="E293" t="s">
        <v>1254</v>
      </c>
      <c r="F293">
        <f t="shared" ca="1" si="18"/>
        <v>3</v>
      </c>
      <c r="G293">
        <v>25</v>
      </c>
      <c r="H293">
        <f t="shared" ca="1" si="19"/>
        <v>75</v>
      </c>
      <c r="I293" t="s">
        <v>214</v>
      </c>
      <c r="J293" t="str">
        <f ca="1">VLOOKUP(B293,Customer_Data!$A:$D,4,FALSE)</f>
        <v>Gold</v>
      </c>
    </row>
    <row r="294" spans="1:10" x14ac:dyDescent="0.35">
      <c r="A294" t="s">
        <v>541</v>
      </c>
      <c r="B294" t="str">
        <f t="shared" ca="1" si="16"/>
        <v>CUST151</v>
      </c>
      <c r="C294" s="1">
        <f t="shared" ca="1" si="17"/>
        <v>45992</v>
      </c>
      <c r="D294" t="s">
        <v>1250</v>
      </c>
      <c r="E294" t="s">
        <v>1255</v>
      </c>
      <c r="F294">
        <f t="shared" ca="1" si="18"/>
        <v>6</v>
      </c>
      <c r="G294">
        <v>60</v>
      </c>
      <c r="H294">
        <f t="shared" ca="1" si="19"/>
        <v>360</v>
      </c>
      <c r="I294" t="s">
        <v>214</v>
      </c>
      <c r="J294" t="str">
        <f ca="1">VLOOKUP(B294,Customer_Data!$A:$D,4,FALSE)</f>
        <v>Regular</v>
      </c>
    </row>
    <row r="295" spans="1:10" x14ac:dyDescent="0.35">
      <c r="A295" t="s">
        <v>542</v>
      </c>
      <c r="B295" t="str">
        <f t="shared" ca="1" si="16"/>
        <v>CUST088</v>
      </c>
      <c r="C295" s="1">
        <f t="shared" ca="1" si="17"/>
        <v>45963</v>
      </c>
      <c r="D295" t="s">
        <v>1252</v>
      </c>
      <c r="E295" t="s">
        <v>1257</v>
      </c>
      <c r="F295">
        <f t="shared" ca="1" si="18"/>
        <v>6</v>
      </c>
      <c r="G295">
        <v>120</v>
      </c>
      <c r="H295">
        <f t="shared" ca="1" si="19"/>
        <v>720</v>
      </c>
      <c r="I295" t="s">
        <v>214</v>
      </c>
      <c r="J295" t="str">
        <f ca="1">VLOOKUP(B295,Customer_Data!$A:$D,4,FALSE)</f>
        <v>Regular</v>
      </c>
    </row>
    <row r="296" spans="1:10" x14ac:dyDescent="0.35">
      <c r="A296" t="s">
        <v>543</v>
      </c>
      <c r="B296" t="str">
        <f t="shared" ca="1" si="16"/>
        <v>CUST060</v>
      </c>
      <c r="C296" s="1">
        <f t="shared" ca="1" si="17"/>
        <v>45818</v>
      </c>
      <c r="D296" t="s">
        <v>1250</v>
      </c>
      <c r="E296" t="s">
        <v>1255</v>
      </c>
      <c r="F296">
        <f t="shared" ca="1" si="18"/>
        <v>10</v>
      </c>
      <c r="G296">
        <v>60</v>
      </c>
      <c r="H296">
        <f t="shared" ca="1" si="19"/>
        <v>600</v>
      </c>
      <c r="I296" t="s">
        <v>214</v>
      </c>
      <c r="J296" t="str">
        <f ca="1">VLOOKUP(B296,Customer_Data!$A:$D,4,FALSE)</f>
        <v>Gold</v>
      </c>
    </row>
    <row r="297" spans="1:10" x14ac:dyDescent="0.35">
      <c r="A297" t="s">
        <v>544</v>
      </c>
      <c r="B297" t="str">
        <f t="shared" ca="1" si="16"/>
        <v>CUST184</v>
      </c>
      <c r="C297" s="1">
        <f t="shared" ca="1" si="17"/>
        <v>45939</v>
      </c>
      <c r="D297" t="s">
        <v>1251</v>
      </c>
      <c r="E297" t="s">
        <v>1256</v>
      </c>
      <c r="F297">
        <f t="shared" ca="1" si="18"/>
        <v>4</v>
      </c>
      <c r="G297">
        <v>80</v>
      </c>
      <c r="H297">
        <f t="shared" ca="1" si="19"/>
        <v>320</v>
      </c>
      <c r="I297" t="s">
        <v>214</v>
      </c>
      <c r="J297" t="str">
        <f ca="1">VLOOKUP(B297,Customer_Data!$A:$D,4,FALSE)</f>
        <v>Regular</v>
      </c>
    </row>
    <row r="298" spans="1:10" x14ac:dyDescent="0.35">
      <c r="A298" t="s">
        <v>545</v>
      </c>
      <c r="B298" t="str">
        <f t="shared" ca="1" si="16"/>
        <v>CUST028</v>
      </c>
      <c r="C298" s="1">
        <f t="shared" ca="1" si="17"/>
        <v>45922</v>
      </c>
      <c r="D298" t="s">
        <v>1251</v>
      </c>
      <c r="E298" t="s">
        <v>1256</v>
      </c>
      <c r="F298">
        <f t="shared" ca="1" si="18"/>
        <v>1</v>
      </c>
      <c r="G298">
        <v>80</v>
      </c>
      <c r="H298">
        <f t="shared" ca="1" si="19"/>
        <v>80</v>
      </c>
      <c r="I298" t="s">
        <v>211</v>
      </c>
      <c r="J298" t="str">
        <f ca="1">VLOOKUP(B298,Customer_Data!$A:$D,4,FALSE)</f>
        <v>Regular</v>
      </c>
    </row>
    <row r="299" spans="1:10" x14ac:dyDescent="0.35">
      <c r="A299" t="s">
        <v>546</v>
      </c>
      <c r="B299" t="str">
        <f t="shared" ca="1" si="16"/>
        <v>CUST139</v>
      </c>
      <c r="C299" s="1">
        <f t="shared" ca="1" si="17"/>
        <v>45908</v>
      </c>
      <c r="D299" t="s">
        <v>1249</v>
      </c>
      <c r="E299" t="s">
        <v>1254</v>
      </c>
      <c r="F299">
        <f t="shared" ca="1" si="18"/>
        <v>8</v>
      </c>
      <c r="G299">
        <v>25</v>
      </c>
      <c r="H299">
        <f t="shared" ca="1" si="19"/>
        <v>200</v>
      </c>
      <c r="I299" t="s">
        <v>213</v>
      </c>
      <c r="J299" t="str">
        <f ca="1">VLOOKUP(B299,Customer_Data!$A:$D,4,FALSE)</f>
        <v>Gold</v>
      </c>
    </row>
    <row r="300" spans="1:10" x14ac:dyDescent="0.35">
      <c r="A300" t="s">
        <v>547</v>
      </c>
      <c r="B300" t="str">
        <f t="shared" ca="1" si="16"/>
        <v>CUST097</v>
      </c>
      <c r="C300" s="1">
        <f t="shared" ca="1" si="17"/>
        <v>45879</v>
      </c>
      <c r="D300" t="s">
        <v>1251</v>
      </c>
      <c r="E300" t="s">
        <v>1256</v>
      </c>
      <c r="F300">
        <f t="shared" ca="1" si="18"/>
        <v>2</v>
      </c>
      <c r="G300">
        <v>80</v>
      </c>
      <c r="H300">
        <f t="shared" ca="1" si="19"/>
        <v>160</v>
      </c>
      <c r="I300" t="s">
        <v>214</v>
      </c>
      <c r="J300" t="str">
        <f ca="1">VLOOKUP(B300,Customer_Data!$A:$D,4,FALSE)</f>
        <v>Silver</v>
      </c>
    </row>
    <row r="301" spans="1:10" x14ac:dyDescent="0.35">
      <c r="A301" t="s">
        <v>548</v>
      </c>
      <c r="B301" t="str">
        <f t="shared" ca="1" si="16"/>
        <v>CUST055</v>
      </c>
      <c r="C301" s="1">
        <f t="shared" ca="1" si="17"/>
        <v>45678</v>
      </c>
      <c r="D301" t="s">
        <v>1253</v>
      </c>
      <c r="E301" t="s">
        <v>1258</v>
      </c>
      <c r="F301">
        <f t="shared" ca="1" si="18"/>
        <v>9</v>
      </c>
      <c r="G301">
        <v>90</v>
      </c>
      <c r="H301">
        <f t="shared" ca="1" si="19"/>
        <v>810</v>
      </c>
      <c r="I301" t="s">
        <v>214</v>
      </c>
      <c r="J301" t="str">
        <f ca="1">VLOOKUP(B301,Customer_Data!$A:$D,4,FALSE)</f>
        <v>Silver</v>
      </c>
    </row>
    <row r="302" spans="1:10" x14ac:dyDescent="0.35">
      <c r="A302" t="s">
        <v>549</v>
      </c>
      <c r="B302" t="str">
        <f t="shared" ca="1" si="16"/>
        <v>CUST055</v>
      </c>
      <c r="C302" s="1">
        <f t="shared" ca="1" si="17"/>
        <v>45763</v>
      </c>
      <c r="D302" t="s">
        <v>1251</v>
      </c>
      <c r="E302" t="s">
        <v>1256</v>
      </c>
      <c r="F302">
        <f t="shared" ca="1" si="18"/>
        <v>3</v>
      </c>
      <c r="G302">
        <v>80</v>
      </c>
      <c r="H302">
        <f t="shared" ca="1" si="19"/>
        <v>240</v>
      </c>
      <c r="I302" t="s">
        <v>214</v>
      </c>
      <c r="J302" t="str">
        <f ca="1">VLOOKUP(B302,Customer_Data!$A:$D,4,FALSE)</f>
        <v>Silver</v>
      </c>
    </row>
    <row r="303" spans="1:10" x14ac:dyDescent="0.35">
      <c r="A303" t="s">
        <v>550</v>
      </c>
      <c r="B303" t="str">
        <f t="shared" ca="1" si="16"/>
        <v>CUST037</v>
      </c>
      <c r="C303" s="1">
        <f t="shared" ca="1" si="17"/>
        <v>45754</v>
      </c>
      <c r="D303" t="s">
        <v>1249</v>
      </c>
      <c r="E303" t="s">
        <v>1254</v>
      </c>
      <c r="F303">
        <f t="shared" ca="1" si="18"/>
        <v>1</v>
      </c>
      <c r="G303">
        <v>25</v>
      </c>
      <c r="H303">
        <f t="shared" ca="1" si="19"/>
        <v>25</v>
      </c>
      <c r="I303" t="s">
        <v>214</v>
      </c>
      <c r="J303" t="str">
        <f ca="1">VLOOKUP(B303,Customer_Data!$A:$D,4,FALSE)</f>
        <v>Silver</v>
      </c>
    </row>
    <row r="304" spans="1:10" x14ac:dyDescent="0.35">
      <c r="A304" t="s">
        <v>551</v>
      </c>
      <c r="B304" t="str">
        <f t="shared" ca="1" si="16"/>
        <v>CUST073</v>
      </c>
      <c r="C304" s="1">
        <f t="shared" ca="1" si="17"/>
        <v>45949</v>
      </c>
      <c r="D304" t="s">
        <v>1253</v>
      </c>
      <c r="E304" t="s">
        <v>1258</v>
      </c>
      <c r="F304">
        <f t="shared" ca="1" si="18"/>
        <v>9</v>
      </c>
      <c r="G304">
        <v>90</v>
      </c>
      <c r="H304">
        <f t="shared" ca="1" si="19"/>
        <v>810</v>
      </c>
      <c r="I304" t="s">
        <v>213</v>
      </c>
      <c r="J304" t="str">
        <f ca="1">VLOOKUP(B304,Customer_Data!$A:$D,4,FALSE)</f>
        <v>Silver</v>
      </c>
    </row>
    <row r="305" spans="1:10" x14ac:dyDescent="0.35">
      <c r="A305" t="s">
        <v>552</v>
      </c>
      <c r="B305" t="str">
        <f t="shared" ca="1" si="16"/>
        <v>CUST198</v>
      </c>
      <c r="C305" s="1">
        <f t="shared" ca="1" si="17"/>
        <v>46005</v>
      </c>
      <c r="D305" t="s">
        <v>1253</v>
      </c>
      <c r="E305" t="s">
        <v>1258</v>
      </c>
      <c r="F305">
        <f t="shared" ca="1" si="18"/>
        <v>3</v>
      </c>
      <c r="G305">
        <v>90</v>
      </c>
      <c r="H305">
        <f t="shared" ca="1" si="19"/>
        <v>270</v>
      </c>
      <c r="I305" t="s">
        <v>211</v>
      </c>
      <c r="J305" t="str">
        <f ca="1">VLOOKUP(B305,Customer_Data!$A:$D,4,FALSE)</f>
        <v>Gold</v>
      </c>
    </row>
    <row r="306" spans="1:10" x14ac:dyDescent="0.35">
      <c r="A306" t="s">
        <v>553</v>
      </c>
      <c r="B306" t="str">
        <f t="shared" ca="1" si="16"/>
        <v>CUST181</v>
      </c>
      <c r="C306" s="1">
        <f t="shared" ca="1" si="17"/>
        <v>45897</v>
      </c>
      <c r="D306" t="s">
        <v>1252</v>
      </c>
      <c r="E306" t="s">
        <v>1257</v>
      </c>
      <c r="F306">
        <f t="shared" ca="1" si="18"/>
        <v>3</v>
      </c>
      <c r="G306">
        <v>120</v>
      </c>
      <c r="H306">
        <f t="shared" ca="1" si="19"/>
        <v>360</v>
      </c>
      <c r="I306" t="s">
        <v>214</v>
      </c>
      <c r="J306" t="str">
        <f ca="1">VLOOKUP(B306,Customer_Data!$A:$D,4,FALSE)</f>
        <v>Regular</v>
      </c>
    </row>
    <row r="307" spans="1:10" x14ac:dyDescent="0.35">
      <c r="A307" t="s">
        <v>554</v>
      </c>
      <c r="B307" t="str">
        <f t="shared" ca="1" si="16"/>
        <v>CUST128</v>
      </c>
      <c r="C307" s="1">
        <f t="shared" ca="1" si="17"/>
        <v>45744</v>
      </c>
      <c r="D307" t="s">
        <v>1250</v>
      </c>
      <c r="E307" t="s">
        <v>1255</v>
      </c>
      <c r="F307">
        <f t="shared" ca="1" si="18"/>
        <v>2</v>
      </c>
      <c r="G307">
        <v>60</v>
      </c>
      <c r="H307">
        <f t="shared" ca="1" si="19"/>
        <v>120</v>
      </c>
      <c r="I307" t="s">
        <v>213</v>
      </c>
      <c r="J307" t="str">
        <f ca="1">VLOOKUP(B307,Customer_Data!$A:$D,4,FALSE)</f>
        <v>Regular</v>
      </c>
    </row>
    <row r="308" spans="1:10" x14ac:dyDescent="0.35">
      <c r="A308" t="s">
        <v>555</v>
      </c>
      <c r="B308" t="str">
        <f t="shared" ca="1" si="16"/>
        <v>CUST059</v>
      </c>
      <c r="C308" s="1">
        <f t="shared" ca="1" si="17"/>
        <v>45728</v>
      </c>
      <c r="D308" t="s">
        <v>1250</v>
      </c>
      <c r="E308" t="s">
        <v>1255</v>
      </c>
      <c r="F308">
        <f t="shared" ca="1" si="18"/>
        <v>6</v>
      </c>
      <c r="G308">
        <v>60</v>
      </c>
      <c r="H308">
        <f t="shared" ca="1" si="19"/>
        <v>360</v>
      </c>
      <c r="I308" t="s">
        <v>213</v>
      </c>
      <c r="J308" t="str">
        <f ca="1">VLOOKUP(B308,Customer_Data!$A:$D,4,FALSE)</f>
        <v>Gold</v>
      </c>
    </row>
    <row r="309" spans="1:10" x14ac:dyDescent="0.35">
      <c r="A309" t="s">
        <v>556</v>
      </c>
      <c r="B309" t="str">
        <f t="shared" ca="1" si="16"/>
        <v>CUST058</v>
      </c>
      <c r="C309" s="1">
        <f t="shared" ca="1" si="17"/>
        <v>46019</v>
      </c>
      <c r="D309" t="s">
        <v>1252</v>
      </c>
      <c r="E309" t="s">
        <v>1257</v>
      </c>
      <c r="F309">
        <f t="shared" ca="1" si="18"/>
        <v>3</v>
      </c>
      <c r="G309">
        <v>120</v>
      </c>
      <c r="H309">
        <f t="shared" ca="1" si="19"/>
        <v>360</v>
      </c>
      <c r="I309" t="s">
        <v>214</v>
      </c>
      <c r="J309" t="str">
        <f ca="1">VLOOKUP(B309,Customer_Data!$A:$D,4,FALSE)</f>
        <v>Gold</v>
      </c>
    </row>
    <row r="310" spans="1:10" x14ac:dyDescent="0.35">
      <c r="A310" t="s">
        <v>557</v>
      </c>
      <c r="B310" t="str">
        <f t="shared" ca="1" si="16"/>
        <v>CUST181</v>
      </c>
      <c r="C310" s="1">
        <f t="shared" ca="1" si="17"/>
        <v>45709</v>
      </c>
      <c r="D310" t="s">
        <v>1253</v>
      </c>
      <c r="E310" t="s">
        <v>1258</v>
      </c>
      <c r="F310">
        <f t="shared" ca="1" si="18"/>
        <v>5</v>
      </c>
      <c r="G310">
        <v>90</v>
      </c>
      <c r="H310">
        <f t="shared" ca="1" si="19"/>
        <v>450</v>
      </c>
      <c r="I310" t="s">
        <v>214</v>
      </c>
      <c r="J310" t="str">
        <f ca="1">VLOOKUP(B310,Customer_Data!$A:$D,4,FALSE)</f>
        <v>Regular</v>
      </c>
    </row>
    <row r="311" spans="1:10" x14ac:dyDescent="0.35">
      <c r="A311" t="s">
        <v>558</v>
      </c>
      <c r="B311" t="str">
        <f t="shared" ca="1" si="16"/>
        <v>CUST018</v>
      </c>
      <c r="C311" s="1">
        <f t="shared" ca="1" si="17"/>
        <v>45830</v>
      </c>
      <c r="D311" t="s">
        <v>1251</v>
      </c>
      <c r="E311" t="s">
        <v>1256</v>
      </c>
      <c r="F311">
        <f t="shared" ca="1" si="18"/>
        <v>8</v>
      </c>
      <c r="G311">
        <v>80</v>
      </c>
      <c r="H311">
        <f t="shared" ca="1" si="19"/>
        <v>640</v>
      </c>
      <c r="I311" t="s">
        <v>212</v>
      </c>
      <c r="J311" t="str">
        <f ca="1">VLOOKUP(B311,Customer_Data!$A:$D,4,FALSE)</f>
        <v>Gold</v>
      </c>
    </row>
    <row r="312" spans="1:10" x14ac:dyDescent="0.35">
      <c r="A312" t="s">
        <v>559</v>
      </c>
      <c r="B312" t="str">
        <f t="shared" ca="1" si="16"/>
        <v>CUST134</v>
      </c>
      <c r="C312" s="1">
        <f t="shared" ca="1" si="17"/>
        <v>45723</v>
      </c>
      <c r="D312" t="s">
        <v>1251</v>
      </c>
      <c r="E312" t="s">
        <v>1256</v>
      </c>
      <c r="F312">
        <f t="shared" ca="1" si="18"/>
        <v>2</v>
      </c>
      <c r="G312">
        <v>80</v>
      </c>
      <c r="H312">
        <f t="shared" ca="1" si="19"/>
        <v>160</v>
      </c>
      <c r="I312" t="s">
        <v>213</v>
      </c>
      <c r="J312" t="str">
        <f ca="1">VLOOKUP(B312,Customer_Data!$A:$D,4,FALSE)</f>
        <v>Silver</v>
      </c>
    </row>
    <row r="313" spans="1:10" x14ac:dyDescent="0.35">
      <c r="A313" t="s">
        <v>560</v>
      </c>
      <c r="B313" t="str">
        <f t="shared" ca="1" si="16"/>
        <v>CUST098</v>
      </c>
      <c r="C313" s="1">
        <f t="shared" ca="1" si="17"/>
        <v>45980</v>
      </c>
      <c r="D313" t="s">
        <v>1252</v>
      </c>
      <c r="E313" t="s">
        <v>1257</v>
      </c>
      <c r="F313">
        <f t="shared" ca="1" si="18"/>
        <v>2</v>
      </c>
      <c r="G313">
        <v>120</v>
      </c>
      <c r="H313">
        <f t="shared" ca="1" si="19"/>
        <v>240</v>
      </c>
      <c r="I313" t="s">
        <v>213</v>
      </c>
      <c r="J313" t="str">
        <f ca="1">VLOOKUP(B313,Customer_Data!$A:$D,4,FALSE)</f>
        <v>Gold</v>
      </c>
    </row>
    <row r="314" spans="1:10" x14ac:dyDescent="0.35">
      <c r="A314" t="s">
        <v>561</v>
      </c>
      <c r="B314" t="str">
        <f t="shared" ca="1" si="16"/>
        <v>CUST126</v>
      </c>
      <c r="C314" s="1">
        <f t="shared" ca="1" si="17"/>
        <v>45829</v>
      </c>
      <c r="D314" t="s">
        <v>1252</v>
      </c>
      <c r="E314" t="s">
        <v>1257</v>
      </c>
      <c r="F314">
        <f t="shared" ca="1" si="18"/>
        <v>7</v>
      </c>
      <c r="G314">
        <v>120</v>
      </c>
      <c r="H314">
        <f t="shared" ca="1" si="19"/>
        <v>840</v>
      </c>
      <c r="I314" t="s">
        <v>213</v>
      </c>
      <c r="J314" t="str">
        <f ca="1">VLOOKUP(B314,Customer_Data!$A:$D,4,FALSE)</f>
        <v>Regular</v>
      </c>
    </row>
    <row r="315" spans="1:10" x14ac:dyDescent="0.35">
      <c r="A315" t="s">
        <v>562</v>
      </c>
      <c r="B315" t="str">
        <f t="shared" ca="1" si="16"/>
        <v>CUST008</v>
      </c>
      <c r="C315" s="1">
        <f t="shared" ca="1" si="17"/>
        <v>45711</v>
      </c>
      <c r="D315" t="s">
        <v>1252</v>
      </c>
      <c r="E315" t="s">
        <v>1257</v>
      </c>
      <c r="F315">
        <f t="shared" ca="1" si="18"/>
        <v>10</v>
      </c>
      <c r="G315">
        <v>120</v>
      </c>
      <c r="H315">
        <f t="shared" ca="1" si="19"/>
        <v>1200</v>
      </c>
      <c r="I315" t="s">
        <v>211</v>
      </c>
      <c r="J315" t="str">
        <f ca="1">VLOOKUP(B315,Customer_Data!$A:$D,4,FALSE)</f>
        <v>Regular</v>
      </c>
    </row>
    <row r="316" spans="1:10" x14ac:dyDescent="0.35">
      <c r="A316" t="s">
        <v>563</v>
      </c>
      <c r="B316" t="str">
        <f t="shared" ca="1" si="16"/>
        <v>CUST083</v>
      </c>
      <c r="C316" s="1">
        <f t="shared" ca="1" si="17"/>
        <v>45864</v>
      </c>
      <c r="D316" t="s">
        <v>1252</v>
      </c>
      <c r="E316" t="s">
        <v>1257</v>
      </c>
      <c r="F316">
        <f t="shared" ca="1" si="18"/>
        <v>6</v>
      </c>
      <c r="G316">
        <v>120</v>
      </c>
      <c r="H316">
        <f t="shared" ca="1" si="19"/>
        <v>720</v>
      </c>
      <c r="I316" t="s">
        <v>214</v>
      </c>
      <c r="J316" t="str">
        <f ca="1">VLOOKUP(B316,Customer_Data!$A:$D,4,FALSE)</f>
        <v>Regular</v>
      </c>
    </row>
    <row r="317" spans="1:10" x14ac:dyDescent="0.35">
      <c r="A317" t="s">
        <v>564</v>
      </c>
      <c r="B317" t="str">
        <f t="shared" ca="1" si="16"/>
        <v>CUST196</v>
      </c>
      <c r="C317" s="1">
        <f t="shared" ca="1" si="17"/>
        <v>46010</v>
      </c>
      <c r="D317" t="s">
        <v>1253</v>
      </c>
      <c r="E317" t="s">
        <v>1258</v>
      </c>
      <c r="F317">
        <f t="shared" ca="1" si="18"/>
        <v>5</v>
      </c>
      <c r="G317">
        <v>90</v>
      </c>
      <c r="H317">
        <f t="shared" ca="1" si="19"/>
        <v>450</v>
      </c>
      <c r="I317" t="s">
        <v>214</v>
      </c>
      <c r="J317" t="str">
        <f ca="1">VLOOKUP(B317,Customer_Data!$A:$D,4,FALSE)</f>
        <v>Silver</v>
      </c>
    </row>
    <row r="318" spans="1:10" x14ac:dyDescent="0.35">
      <c r="A318" t="s">
        <v>565</v>
      </c>
      <c r="B318" t="str">
        <f t="shared" ca="1" si="16"/>
        <v>CUST171</v>
      </c>
      <c r="C318" s="1">
        <f t="shared" ca="1" si="17"/>
        <v>45810</v>
      </c>
      <c r="D318" t="s">
        <v>1252</v>
      </c>
      <c r="E318" t="s">
        <v>1257</v>
      </c>
      <c r="F318">
        <f t="shared" ca="1" si="18"/>
        <v>3</v>
      </c>
      <c r="G318">
        <v>120</v>
      </c>
      <c r="H318">
        <f t="shared" ca="1" si="19"/>
        <v>360</v>
      </c>
      <c r="I318" t="s">
        <v>212</v>
      </c>
      <c r="J318" t="str">
        <f ca="1">VLOOKUP(B318,Customer_Data!$A:$D,4,FALSE)</f>
        <v>Regular</v>
      </c>
    </row>
    <row r="319" spans="1:10" x14ac:dyDescent="0.35">
      <c r="A319" t="s">
        <v>566</v>
      </c>
      <c r="B319" t="str">
        <f t="shared" ca="1" si="16"/>
        <v>CUST055</v>
      </c>
      <c r="C319" s="1">
        <f t="shared" ca="1" si="17"/>
        <v>45708</v>
      </c>
      <c r="D319" t="s">
        <v>1250</v>
      </c>
      <c r="E319" t="s">
        <v>1255</v>
      </c>
      <c r="F319">
        <f t="shared" ca="1" si="18"/>
        <v>8</v>
      </c>
      <c r="G319">
        <v>60</v>
      </c>
      <c r="H319">
        <f t="shared" ca="1" si="19"/>
        <v>480</v>
      </c>
      <c r="I319" t="s">
        <v>213</v>
      </c>
      <c r="J319" t="str">
        <f ca="1">VLOOKUP(B319,Customer_Data!$A:$D,4,FALSE)</f>
        <v>Silver</v>
      </c>
    </row>
    <row r="320" spans="1:10" x14ac:dyDescent="0.35">
      <c r="A320" t="s">
        <v>567</v>
      </c>
      <c r="B320" t="str">
        <f t="shared" ca="1" si="16"/>
        <v>CUST178</v>
      </c>
      <c r="C320" s="1">
        <f t="shared" ca="1" si="17"/>
        <v>45820</v>
      </c>
      <c r="D320" t="s">
        <v>1251</v>
      </c>
      <c r="E320" t="s">
        <v>1256</v>
      </c>
      <c r="F320">
        <f t="shared" ca="1" si="18"/>
        <v>3</v>
      </c>
      <c r="G320">
        <v>80</v>
      </c>
      <c r="H320">
        <f t="shared" ca="1" si="19"/>
        <v>240</v>
      </c>
      <c r="I320" t="s">
        <v>211</v>
      </c>
      <c r="J320" t="str">
        <f ca="1">VLOOKUP(B320,Customer_Data!$A:$D,4,FALSE)</f>
        <v>Gold</v>
      </c>
    </row>
    <row r="321" spans="1:10" x14ac:dyDescent="0.35">
      <c r="A321" t="s">
        <v>568</v>
      </c>
      <c r="B321" t="str">
        <f t="shared" ca="1" si="16"/>
        <v>CUST194</v>
      </c>
      <c r="C321" s="1">
        <f t="shared" ca="1" si="17"/>
        <v>45863</v>
      </c>
      <c r="D321" t="s">
        <v>1253</v>
      </c>
      <c r="E321" t="s">
        <v>1258</v>
      </c>
      <c r="F321">
        <f t="shared" ca="1" si="18"/>
        <v>5</v>
      </c>
      <c r="G321">
        <v>90</v>
      </c>
      <c r="H321">
        <f t="shared" ca="1" si="19"/>
        <v>450</v>
      </c>
      <c r="I321" t="s">
        <v>211</v>
      </c>
      <c r="J321" t="str">
        <f ca="1">VLOOKUP(B321,Customer_Data!$A:$D,4,FALSE)</f>
        <v>Silver</v>
      </c>
    </row>
    <row r="322" spans="1:10" x14ac:dyDescent="0.35">
      <c r="A322" t="s">
        <v>569</v>
      </c>
      <c r="B322" t="str">
        <f t="shared" ca="1" si="16"/>
        <v>CUST146</v>
      </c>
      <c r="C322" s="1">
        <f t="shared" ca="1" si="17"/>
        <v>45883</v>
      </c>
      <c r="D322" t="s">
        <v>1249</v>
      </c>
      <c r="E322" t="s">
        <v>1254</v>
      </c>
      <c r="F322">
        <f t="shared" ca="1" si="18"/>
        <v>5</v>
      </c>
      <c r="G322">
        <v>25</v>
      </c>
      <c r="H322">
        <f t="shared" ca="1" si="19"/>
        <v>125</v>
      </c>
      <c r="I322" t="s">
        <v>213</v>
      </c>
      <c r="J322" t="str">
        <f ca="1">VLOOKUP(B322,Customer_Data!$A:$D,4,FALSE)</f>
        <v>Regular</v>
      </c>
    </row>
    <row r="323" spans="1:10" x14ac:dyDescent="0.35">
      <c r="A323" t="s">
        <v>570</v>
      </c>
      <c r="B323" t="str">
        <f t="shared" ref="B323:B386" ca="1" si="20">"CUST"&amp;TEXT(RANDBETWEEN(1,200),"000")</f>
        <v>CUST108</v>
      </c>
      <c r="C323" s="1">
        <f t="shared" ref="C323:C386" ca="1" si="21">DATE(2025,1,1)+RANDBETWEEN(0,364)</f>
        <v>45676</v>
      </c>
      <c r="D323" t="s">
        <v>1249</v>
      </c>
      <c r="E323" t="s">
        <v>1254</v>
      </c>
      <c r="F323">
        <f t="shared" ref="F323:F386" ca="1" si="22">RANDBETWEEN(1,10)</f>
        <v>9</v>
      </c>
      <c r="G323">
        <v>25</v>
      </c>
      <c r="H323">
        <f t="shared" ref="H323:H386" ca="1" si="23">F323*G323</f>
        <v>225</v>
      </c>
      <c r="I323" t="s">
        <v>212</v>
      </c>
      <c r="J323" t="str">
        <f ca="1">VLOOKUP(B323,Customer_Data!$A:$D,4,FALSE)</f>
        <v>Regular</v>
      </c>
    </row>
    <row r="324" spans="1:10" x14ac:dyDescent="0.35">
      <c r="A324" t="s">
        <v>571</v>
      </c>
      <c r="B324" t="str">
        <f t="shared" ca="1" si="20"/>
        <v>CUST078</v>
      </c>
      <c r="C324" s="1">
        <f t="shared" ca="1" si="21"/>
        <v>45996</v>
      </c>
      <c r="D324" t="s">
        <v>1250</v>
      </c>
      <c r="E324" t="s">
        <v>1255</v>
      </c>
      <c r="F324">
        <f t="shared" ca="1" si="22"/>
        <v>10</v>
      </c>
      <c r="G324">
        <v>60</v>
      </c>
      <c r="H324">
        <f t="shared" ca="1" si="23"/>
        <v>600</v>
      </c>
      <c r="I324" t="s">
        <v>214</v>
      </c>
      <c r="J324" t="str">
        <f ca="1">VLOOKUP(B324,Customer_Data!$A:$D,4,FALSE)</f>
        <v>Gold</v>
      </c>
    </row>
    <row r="325" spans="1:10" x14ac:dyDescent="0.35">
      <c r="A325" t="s">
        <v>572</v>
      </c>
      <c r="B325" t="str">
        <f t="shared" ca="1" si="20"/>
        <v>CUST199</v>
      </c>
      <c r="C325" s="1">
        <f t="shared" ca="1" si="21"/>
        <v>45727</v>
      </c>
      <c r="D325" t="s">
        <v>1249</v>
      </c>
      <c r="E325" t="s">
        <v>1254</v>
      </c>
      <c r="F325">
        <f t="shared" ca="1" si="22"/>
        <v>8</v>
      </c>
      <c r="G325">
        <v>25</v>
      </c>
      <c r="H325">
        <f t="shared" ca="1" si="23"/>
        <v>200</v>
      </c>
      <c r="I325" t="s">
        <v>214</v>
      </c>
      <c r="J325" t="str">
        <f ca="1">VLOOKUP(B325,Customer_Data!$A:$D,4,FALSE)</f>
        <v>Gold</v>
      </c>
    </row>
    <row r="326" spans="1:10" x14ac:dyDescent="0.35">
      <c r="A326" t="s">
        <v>573</v>
      </c>
      <c r="B326" t="str">
        <f t="shared" ca="1" si="20"/>
        <v>CUST009</v>
      </c>
      <c r="C326" s="1">
        <f t="shared" ca="1" si="21"/>
        <v>45803</v>
      </c>
      <c r="D326" t="s">
        <v>1253</v>
      </c>
      <c r="E326" t="s">
        <v>1258</v>
      </c>
      <c r="F326">
        <f t="shared" ca="1" si="22"/>
        <v>8</v>
      </c>
      <c r="G326">
        <v>90</v>
      </c>
      <c r="H326">
        <f t="shared" ca="1" si="23"/>
        <v>720</v>
      </c>
      <c r="I326" t="s">
        <v>213</v>
      </c>
      <c r="J326" t="str">
        <f ca="1">VLOOKUP(B326,Customer_Data!$A:$D,4,FALSE)</f>
        <v>Regular</v>
      </c>
    </row>
    <row r="327" spans="1:10" x14ac:dyDescent="0.35">
      <c r="A327" t="s">
        <v>574</v>
      </c>
      <c r="B327" t="str">
        <f t="shared" ca="1" si="20"/>
        <v>CUST084</v>
      </c>
      <c r="C327" s="1">
        <f t="shared" ca="1" si="21"/>
        <v>45938</v>
      </c>
      <c r="D327" t="s">
        <v>1250</v>
      </c>
      <c r="E327" t="s">
        <v>1255</v>
      </c>
      <c r="F327">
        <f t="shared" ca="1" si="22"/>
        <v>1</v>
      </c>
      <c r="G327">
        <v>60</v>
      </c>
      <c r="H327">
        <f t="shared" ca="1" si="23"/>
        <v>60</v>
      </c>
      <c r="I327" t="s">
        <v>212</v>
      </c>
      <c r="J327" t="str">
        <f ca="1">VLOOKUP(B327,Customer_Data!$A:$D,4,FALSE)</f>
        <v>Regular</v>
      </c>
    </row>
    <row r="328" spans="1:10" x14ac:dyDescent="0.35">
      <c r="A328" t="s">
        <v>575</v>
      </c>
      <c r="B328" t="str">
        <f t="shared" ca="1" si="20"/>
        <v>CUST025</v>
      </c>
      <c r="C328" s="1">
        <f t="shared" ca="1" si="21"/>
        <v>45739</v>
      </c>
      <c r="D328" t="s">
        <v>1251</v>
      </c>
      <c r="E328" t="s">
        <v>1256</v>
      </c>
      <c r="F328">
        <f t="shared" ca="1" si="22"/>
        <v>9</v>
      </c>
      <c r="G328">
        <v>80</v>
      </c>
      <c r="H328">
        <f t="shared" ca="1" si="23"/>
        <v>720</v>
      </c>
      <c r="I328" t="s">
        <v>214</v>
      </c>
      <c r="J328" t="str">
        <f ca="1">VLOOKUP(B328,Customer_Data!$A:$D,4,FALSE)</f>
        <v>Regular</v>
      </c>
    </row>
    <row r="329" spans="1:10" x14ac:dyDescent="0.35">
      <c r="A329" t="s">
        <v>576</v>
      </c>
      <c r="B329" t="str">
        <f t="shared" ca="1" si="20"/>
        <v>CUST022</v>
      </c>
      <c r="C329" s="1">
        <f t="shared" ca="1" si="21"/>
        <v>45702</v>
      </c>
      <c r="D329" t="s">
        <v>1252</v>
      </c>
      <c r="E329" t="s">
        <v>1257</v>
      </c>
      <c r="F329">
        <f t="shared" ca="1" si="22"/>
        <v>10</v>
      </c>
      <c r="G329">
        <v>120</v>
      </c>
      <c r="H329">
        <f t="shared" ca="1" si="23"/>
        <v>1200</v>
      </c>
      <c r="I329" t="s">
        <v>212</v>
      </c>
      <c r="J329" t="str">
        <f ca="1">VLOOKUP(B329,Customer_Data!$A:$D,4,FALSE)</f>
        <v>Regular</v>
      </c>
    </row>
    <row r="330" spans="1:10" x14ac:dyDescent="0.35">
      <c r="A330" t="s">
        <v>577</v>
      </c>
      <c r="B330" t="str">
        <f t="shared" ca="1" si="20"/>
        <v>CUST006</v>
      </c>
      <c r="C330" s="1">
        <f t="shared" ca="1" si="21"/>
        <v>45939</v>
      </c>
      <c r="D330" t="s">
        <v>1250</v>
      </c>
      <c r="E330" t="s">
        <v>1255</v>
      </c>
      <c r="F330">
        <f t="shared" ca="1" si="22"/>
        <v>4</v>
      </c>
      <c r="G330">
        <v>60</v>
      </c>
      <c r="H330">
        <f t="shared" ca="1" si="23"/>
        <v>240</v>
      </c>
      <c r="I330" t="s">
        <v>212</v>
      </c>
      <c r="J330" t="str">
        <f ca="1">VLOOKUP(B330,Customer_Data!$A:$D,4,FALSE)</f>
        <v>Regular</v>
      </c>
    </row>
    <row r="331" spans="1:10" x14ac:dyDescent="0.35">
      <c r="A331" t="s">
        <v>578</v>
      </c>
      <c r="B331" t="str">
        <f t="shared" ca="1" si="20"/>
        <v>CUST137</v>
      </c>
      <c r="C331" s="1">
        <f t="shared" ca="1" si="21"/>
        <v>45743</v>
      </c>
      <c r="D331" t="s">
        <v>1249</v>
      </c>
      <c r="E331" t="s">
        <v>1254</v>
      </c>
      <c r="F331">
        <f t="shared" ca="1" si="22"/>
        <v>4</v>
      </c>
      <c r="G331">
        <v>25</v>
      </c>
      <c r="H331">
        <f t="shared" ca="1" si="23"/>
        <v>100</v>
      </c>
      <c r="I331" t="s">
        <v>213</v>
      </c>
      <c r="J331" t="str">
        <f ca="1">VLOOKUP(B331,Customer_Data!$A:$D,4,FALSE)</f>
        <v>Silver</v>
      </c>
    </row>
    <row r="332" spans="1:10" x14ac:dyDescent="0.35">
      <c r="A332" t="s">
        <v>579</v>
      </c>
      <c r="B332" t="str">
        <f t="shared" ca="1" si="20"/>
        <v>CUST014</v>
      </c>
      <c r="C332" s="1">
        <f t="shared" ca="1" si="21"/>
        <v>45881</v>
      </c>
      <c r="D332" t="s">
        <v>1249</v>
      </c>
      <c r="E332" t="s">
        <v>1254</v>
      </c>
      <c r="F332">
        <f t="shared" ca="1" si="22"/>
        <v>7</v>
      </c>
      <c r="G332">
        <v>25</v>
      </c>
      <c r="H332">
        <f t="shared" ca="1" si="23"/>
        <v>175</v>
      </c>
      <c r="I332" t="s">
        <v>212</v>
      </c>
      <c r="J332" t="str">
        <f ca="1">VLOOKUP(B332,Customer_Data!$A:$D,4,FALSE)</f>
        <v>Silver</v>
      </c>
    </row>
    <row r="333" spans="1:10" x14ac:dyDescent="0.35">
      <c r="A333" t="s">
        <v>580</v>
      </c>
      <c r="B333" t="str">
        <f t="shared" ca="1" si="20"/>
        <v>CUST152</v>
      </c>
      <c r="C333" s="1">
        <f t="shared" ca="1" si="21"/>
        <v>45992</v>
      </c>
      <c r="D333" t="s">
        <v>1250</v>
      </c>
      <c r="E333" t="s">
        <v>1255</v>
      </c>
      <c r="F333">
        <f t="shared" ca="1" si="22"/>
        <v>6</v>
      </c>
      <c r="G333">
        <v>60</v>
      </c>
      <c r="H333">
        <f t="shared" ca="1" si="23"/>
        <v>360</v>
      </c>
      <c r="I333" t="s">
        <v>212</v>
      </c>
      <c r="J333" t="str">
        <f ca="1">VLOOKUP(B333,Customer_Data!$A:$D,4,FALSE)</f>
        <v>Regular</v>
      </c>
    </row>
    <row r="334" spans="1:10" x14ac:dyDescent="0.35">
      <c r="A334" t="s">
        <v>581</v>
      </c>
      <c r="B334" t="str">
        <f t="shared" ca="1" si="20"/>
        <v>CUST115</v>
      </c>
      <c r="C334" s="1">
        <f t="shared" ca="1" si="21"/>
        <v>45896</v>
      </c>
      <c r="D334" t="s">
        <v>1252</v>
      </c>
      <c r="E334" t="s">
        <v>1257</v>
      </c>
      <c r="F334">
        <f t="shared" ca="1" si="22"/>
        <v>9</v>
      </c>
      <c r="G334">
        <v>120</v>
      </c>
      <c r="H334">
        <f t="shared" ca="1" si="23"/>
        <v>1080</v>
      </c>
      <c r="I334" t="s">
        <v>211</v>
      </c>
      <c r="J334" t="str">
        <f ca="1">VLOOKUP(B334,Customer_Data!$A:$D,4,FALSE)</f>
        <v>Silver</v>
      </c>
    </row>
    <row r="335" spans="1:10" x14ac:dyDescent="0.35">
      <c r="A335" t="s">
        <v>582</v>
      </c>
      <c r="B335" t="str">
        <f t="shared" ca="1" si="20"/>
        <v>CUST020</v>
      </c>
      <c r="C335" s="1">
        <f t="shared" ca="1" si="21"/>
        <v>45836</v>
      </c>
      <c r="D335" t="s">
        <v>1252</v>
      </c>
      <c r="E335" t="s">
        <v>1257</v>
      </c>
      <c r="F335">
        <f t="shared" ca="1" si="22"/>
        <v>4</v>
      </c>
      <c r="G335">
        <v>120</v>
      </c>
      <c r="H335">
        <f t="shared" ca="1" si="23"/>
        <v>480</v>
      </c>
      <c r="I335" t="s">
        <v>214</v>
      </c>
      <c r="J335" t="str">
        <f ca="1">VLOOKUP(B335,Customer_Data!$A:$D,4,FALSE)</f>
        <v>Gold</v>
      </c>
    </row>
    <row r="336" spans="1:10" x14ac:dyDescent="0.35">
      <c r="A336" t="s">
        <v>583</v>
      </c>
      <c r="B336" t="str">
        <f t="shared" ca="1" si="20"/>
        <v>CUST189</v>
      </c>
      <c r="C336" s="1">
        <f t="shared" ca="1" si="21"/>
        <v>45993</v>
      </c>
      <c r="D336" t="s">
        <v>1249</v>
      </c>
      <c r="E336" t="s">
        <v>1254</v>
      </c>
      <c r="F336">
        <f t="shared" ca="1" si="22"/>
        <v>7</v>
      </c>
      <c r="G336">
        <v>25</v>
      </c>
      <c r="H336">
        <f t="shared" ca="1" si="23"/>
        <v>175</v>
      </c>
      <c r="I336" t="s">
        <v>211</v>
      </c>
      <c r="J336" t="str">
        <f ca="1">VLOOKUP(B336,Customer_Data!$A:$D,4,FALSE)</f>
        <v>Regular</v>
      </c>
    </row>
    <row r="337" spans="1:10" x14ac:dyDescent="0.35">
      <c r="A337" t="s">
        <v>584</v>
      </c>
      <c r="B337" t="str">
        <f t="shared" ca="1" si="20"/>
        <v>CUST086</v>
      </c>
      <c r="C337" s="1">
        <f t="shared" ca="1" si="21"/>
        <v>45980</v>
      </c>
      <c r="D337" t="s">
        <v>1250</v>
      </c>
      <c r="E337" t="s">
        <v>1255</v>
      </c>
      <c r="F337">
        <f t="shared" ca="1" si="22"/>
        <v>8</v>
      </c>
      <c r="G337">
        <v>60</v>
      </c>
      <c r="H337">
        <f t="shared" ca="1" si="23"/>
        <v>480</v>
      </c>
      <c r="I337" t="s">
        <v>213</v>
      </c>
      <c r="J337" t="str">
        <f ca="1">VLOOKUP(B337,Customer_Data!$A:$D,4,FALSE)</f>
        <v>Regular</v>
      </c>
    </row>
    <row r="338" spans="1:10" x14ac:dyDescent="0.35">
      <c r="A338" t="s">
        <v>585</v>
      </c>
      <c r="B338" t="str">
        <f t="shared" ca="1" si="20"/>
        <v>CUST041</v>
      </c>
      <c r="C338" s="1">
        <f t="shared" ca="1" si="21"/>
        <v>46013</v>
      </c>
      <c r="D338" t="s">
        <v>1253</v>
      </c>
      <c r="E338" t="s">
        <v>1258</v>
      </c>
      <c r="F338">
        <f t="shared" ca="1" si="22"/>
        <v>7</v>
      </c>
      <c r="G338">
        <v>90</v>
      </c>
      <c r="H338">
        <f t="shared" ca="1" si="23"/>
        <v>630</v>
      </c>
      <c r="I338" t="s">
        <v>212</v>
      </c>
      <c r="J338" t="str">
        <f ca="1">VLOOKUP(B338,Customer_Data!$A:$D,4,FALSE)</f>
        <v>Regular</v>
      </c>
    </row>
    <row r="339" spans="1:10" x14ac:dyDescent="0.35">
      <c r="A339" t="s">
        <v>586</v>
      </c>
      <c r="B339" t="str">
        <f t="shared" ca="1" si="20"/>
        <v>CUST125</v>
      </c>
      <c r="C339" s="1">
        <f t="shared" ca="1" si="21"/>
        <v>45952</v>
      </c>
      <c r="D339" t="s">
        <v>1249</v>
      </c>
      <c r="E339" t="s">
        <v>1254</v>
      </c>
      <c r="F339">
        <f t="shared" ca="1" si="22"/>
        <v>9</v>
      </c>
      <c r="G339">
        <v>25</v>
      </c>
      <c r="H339">
        <f t="shared" ca="1" si="23"/>
        <v>225</v>
      </c>
      <c r="I339" t="s">
        <v>214</v>
      </c>
      <c r="J339" t="str">
        <f ca="1">VLOOKUP(B339,Customer_Data!$A:$D,4,FALSE)</f>
        <v>Regular</v>
      </c>
    </row>
    <row r="340" spans="1:10" x14ac:dyDescent="0.35">
      <c r="A340" t="s">
        <v>587</v>
      </c>
      <c r="B340" t="str">
        <f t="shared" ca="1" si="20"/>
        <v>CUST147</v>
      </c>
      <c r="C340" s="1">
        <f t="shared" ca="1" si="21"/>
        <v>45814</v>
      </c>
      <c r="D340" t="s">
        <v>1249</v>
      </c>
      <c r="E340" t="s">
        <v>1254</v>
      </c>
      <c r="F340">
        <f t="shared" ca="1" si="22"/>
        <v>2</v>
      </c>
      <c r="G340">
        <v>25</v>
      </c>
      <c r="H340">
        <f t="shared" ca="1" si="23"/>
        <v>50</v>
      </c>
      <c r="I340" t="s">
        <v>213</v>
      </c>
      <c r="J340" t="str">
        <f ca="1">VLOOKUP(B340,Customer_Data!$A:$D,4,FALSE)</f>
        <v>Regular</v>
      </c>
    </row>
    <row r="341" spans="1:10" x14ac:dyDescent="0.35">
      <c r="A341" t="s">
        <v>588</v>
      </c>
      <c r="B341" t="str">
        <f t="shared" ca="1" si="20"/>
        <v>CUST147</v>
      </c>
      <c r="C341" s="1">
        <f t="shared" ca="1" si="21"/>
        <v>46018</v>
      </c>
      <c r="D341" t="s">
        <v>1252</v>
      </c>
      <c r="E341" t="s">
        <v>1257</v>
      </c>
      <c r="F341">
        <f t="shared" ca="1" si="22"/>
        <v>9</v>
      </c>
      <c r="G341">
        <v>120</v>
      </c>
      <c r="H341">
        <f t="shared" ca="1" si="23"/>
        <v>1080</v>
      </c>
      <c r="I341" t="s">
        <v>213</v>
      </c>
      <c r="J341" t="str">
        <f ca="1">VLOOKUP(B341,Customer_Data!$A:$D,4,FALSE)</f>
        <v>Regular</v>
      </c>
    </row>
    <row r="342" spans="1:10" x14ac:dyDescent="0.35">
      <c r="A342" t="s">
        <v>589</v>
      </c>
      <c r="B342" t="str">
        <f t="shared" ca="1" si="20"/>
        <v>CUST055</v>
      </c>
      <c r="C342" s="1">
        <f t="shared" ca="1" si="21"/>
        <v>45944</v>
      </c>
      <c r="D342" t="s">
        <v>1252</v>
      </c>
      <c r="E342" t="s">
        <v>1257</v>
      </c>
      <c r="F342">
        <f t="shared" ca="1" si="22"/>
        <v>6</v>
      </c>
      <c r="G342">
        <v>120</v>
      </c>
      <c r="H342">
        <f t="shared" ca="1" si="23"/>
        <v>720</v>
      </c>
      <c r="I342" t="s">
        <v>213</v>
      </c>
      <c r="J342" t="str">
        <f ca="1">VLOOKUP(B342,Customer_Data!$A:$D,4,FALSE)</f>
        <v>Silver</v>
      </c>
    </row>
    <row r="343" spans="1:10" x14ac:dyDescent="0.35">
      <c r="A343" t="s">
        <v>590</v>
      </c>
      <c r="B343" t="str">
        <f t="shared" ca="1" si="20"/>
        <v>CUST030</v>
      </c>
      <c r="C343" s="1">
        <f t="shared" ca="1" si="21"/>
        <v>45667</v>
      </c>
      <c r="D343" t="s">
        <v>1251</v>
      </c>
      <c r="E343" t="s">
        <v>1256</v>
      </c>
      <c r="F343">
        <f t="shared" ca="1" si="22"/>
        <v>2</v>
      </c>
      <c r="G343">
        <v>80</v>
      </c>
      <c r="H343">
        <f t="shared" ca="1" si="23"/>
        <v>160</v>
      </c>
      <c r="I343" t="s">
        <v>214</v>
      </c>
      <c r="J343" t="str">
        <f ca="1">VLOOKUP(B343,Customer_Data!$A:$D,4,FALSE)</f>
        <v>Regular</v>
      </c>
    </row>
    <row r="344" spans="1:10" x14ac:dyDescent="0.35">
      <c r="A344" t="s">
        <v>591</v>
      </c>
      <c r="B344" t="str">
        <f t="shared" ca="1" si="20"/>
        <v>CUST003</v>
      </c>
      <c r="C344" s="1">
        <f t="shared" ca="1" si="21"/>
        <v>45995</v>
      </c>
      <c r="D344" t="s">
        <v>1249</v>
      </c>
      <c r="E344" t="s">
        <v>1254</v>
      </c>
      <c r="F344">
        <f t="shared" ca="1" si="22"/>
        <v>10</v>
      </c>
      <c r="G344">
        <v>25</v>
      </c>
      <c r="H344">
        <f t="shared" ca="1" si="23"/>
        <v>250</v>
      </c>
      <c r="I344" t="s">
        <v>213</v>
      </c>
      <c r="J344" t="str">
        <f ca="1">VLOOKUP(B344,Customer_Data!$A:$D,4,FALSE)</f>
        <v>Regular</v>
      </c>
    </row>
    <row r="345" spans="1:10" x14ac:dyDescent="0.35">
      <c r="A345" t="s">
        <v>592</v>
      </c>
      <c r="B345" t="str">
        <f t="shared" ca="1" si="20"/>
        <v>CUST105</v>
      </c>
      <c r="C345" s="1">
        <f t="shared" ca="1" si="21"/>
        <v>45702</v>
      </c>
      <c r="D345" t="s">
        <v>1252</v>
      </c>
      <c r="E345" t="s">
        <v>1257</v>
      </c>
      <c r="F345">
        <f t="shared" ca="1" si="22"/>
        <v>5</v>
      </c>
      <c r="G345">
        <v>120</v>
      </c>
      <c r="H345">
        <f t="shared" ca="1" si="23"/>
        <v>600</v>
      </c>
      <c r="I345" t="s">
        <v>214</v>
      </c>
      <c r="J345" t="str">
        <f ca="1">VLOOKUP(B345,Customer_Data!$A:$D,4,FALSE)</f>
        <v>Regular</v>
      </c>
    </row>
    <row r="346" spans="1:10" x14ac:dyDescent="0.35">
      <c r="A346" t="s">
        <v>593</v>
      </c>
      <c r="B346" t="str">
        <f t="shared" ca="1" si="20"/>
        <v>CUST101</v>
      </c>
      <c r="C346" s="1">
        <f t="shared" ca="1" si="21"/>
        <v>45805</v>
      </c>
      <c r="D346" t="s">
        <v>1249</v>
      </c>
      <c r="E346" t="s">
        <v>1254</v>
      </c>
      <c r="F346">
        <f t="shared" ca="1" si="22"/>
        <v>9</v>
      </c>
      <c r="G346">
        <v>25</v>
      </c>
      <c r="H346">
        <f t="shared" ca="1" si="23"/>
        <v>225</v>
      </c>
      <c r="I346" t="s">
        <v>213</v>
      </c>
      <c r="J346" t="str">
        <f ca="1">VLOOKUP(B346,Customer_Data!$A:$D,4,FALSE)</f>
        <v>Regular</v>
      </c>
    </row>
    <row r="347" spans="1:10" x14ac:dyDescent="0.35">
      <c r="A347" t="s">
        <v>594</v>
      </c>
      <c r="B347" t="str">
        <f t="shared" ca="1" si="20"/>
        <v>CUST131</v>
      </c>
      <c r="C347" s="1">
        <f t="shared" ca="1" si="21"/>
        <v>45883</v>
      </c>
      <c r="D347" t="s">
        <v>1249</v>
      </c>
      <c r="E347" t="s">
        <v>1254</v>
      </c>
      <c r="F347">
        <f t="shared" ca="1" si="22"/>
        <v>5</v>
      </c>
      <c r="G347">
        <v>25</v>
      </c>
      <c r="H347">
        <f t="shared" ca="1" si="23"/>
        <v>125</v>
      </c>
      <c r="I347" t="s">
        <v>212</v>
      </c>
      <c r="J347" t="str">
        <f ca="1">VLOOKUP(B347,Customer_Data!$A:$D,4,FALSE)</f>
        <v>Regular</v>
      </c>
    </row>
    <row r="348" spans="1:10" x14ac:dyDescent="0.35">
      <c r="A348" t="s">
        <v>595</v>
      </c>
      <c r="B348" t="str">
        <f t="shared" ca="1" si="20"/>
        <v>CUST159</v>
      </c>
      <c r="C348" s="1">
        <f t="shared" ca="1" si="21"/>
        <v>45810</v>
      </c>
      <c r="D348" t="s">
        <v>1250</v>
      </c>
      <c r="E348" t="s">
        <v>1255</v>
      </c>
      <c r="F348">
        <f t="shared" ca="1" si="22"/>
        <v>7</v>
      </c>
      <c r="G348">
        <v>60</v>
      </c>
      <c r="H348">
        <f t="shared" ca="1" si="23"/>
        <v>420</v>
      </c>
      <c r="I348" t="s">
        <v>214</v>
      </c>
      <c r="J348" t="str">
        <f ca="1">VLOOKUP(B348,Customer_Data!$A:$D,4,FALSE)</f>
        <v>Gold</v>
      </c>
    </row>
    <row r="349" spans="1:10" x14ac:dyDescent="0.35">
      <c r="A349" t="s">
        <v>596</v>
      </c>
      <c r="B349" t="str">
        <f t="shared" ca="1" si="20"/>
        <v>CUST061</v>
      </c>
      <c r="C349" s="1">
        <f t="shared" ca="1" si="21"/>
        <v>45788</v>
      </c>
      <c r="D349" t="s">
        <v>1251</v>
      </c>
      <c r="E349" t="s">
        <v>1256</v>
      </c>
      <c r="F349">
        <f t="shared" ca="1" si="22"/>
        <v>2</v>
      </c>
      <c r="G349">
        <v>80</v>
      </c>
      <c r="H349">
        <f t="shared" ca="1" si="23"/>
        <v>160</v>
      </c>
      <c r="I349" t="s">
        <v>214</v>
      </c>
      <c r="J349" t="str">
        <f ca="1">VLOOKUP(B349,Customer_Data!$A:$D,4,FALSE)</f>
        <v>Regular</v>
      </c>
    </row>
    <row r="350" spans="1:10" x14ac:dyDescent="0.35">
      <c r="A350" t="s">
        <v>597</v>
      </c>
      <c r="B350" t="str">
        <f t="shared" ca="1" si="20"/>
        <v>CUST105</v>
      </c>
      <c r="C350" s="1">
        <f t="shared" ca="1" si="21"/>
        <v>45698</v>
      </c>
      <c r="D350" t="s">
        <v>1249</v>
      </c>
      <c r="E350" t="s">
        <v>1254</v>
      </c>
      <c r="F350">
        <f t="shared" ca="1" si="22"/>
        <v>6</v>
      </c>
      <c r="G350">
        <v>25</v>
      </c>
      <c r="H350">
        <f t="shared" ca="1" si="23"/>
        <v>150</v>
      </c>
      <c r="I350" t="s">
        <v>211</v>
      </c>
      <c r="J350" t="str">
        <f ca="1">VLOOKUP(B350,Customer_Data!$A:$D,4,FALSE)</f>
        <v>Regular</v>
      </c>
    </row>
    <row r="351" spans="1:10" x14ac:dyDescent="0.35">
      <c r="A351" t="s">
        <v>598</v>
      </c>
      <c r="B351" t="str">
        <f t="shared" ca="1" si="20"/>
        <v>CUST002</v>
      </c>
      <c r="C351" s="1">
        <f t="shared" ca="1" si="21"/>
        <v>45789</v>
      </c>
      <c r="D351" t="s">
        <v>1252</v>
      </c>
      <c r="E351" t="s">
        <v>1257</v>
      </c>
      <c r="F351">
        <f t="shared" ca="1" si="22"/>
        <v>5</v>
      </c>
      <c r="G351">
        <v>120</v>
      </c>
      <c r="H351">
        <f t="shared" ca="1" si="23"/>
        <v>600</v>
      </c>
      <c r="I351" t="s">
        <v>214</v>
      </c>
      <c r="J351" t="str">
        <f ca="1">VLOOKUP(B351,Customer_Data!$A:$D,4,FALSE)</f>
        <v>Regular</v>
      </c>
    </row>
    <row r="352" spans="1:10" x14ac:dyDescent="0.35">
      <c r="A352" t="s">
        <v>599</v>
      </c>
      <c r="B352" t="str">
        <f t="shared" ca="1" si="20"/>
        <v>CUST042</v>
      </c>
      <c r="C352" s="1">
        <f t="shared" ca="1" si="21"/>
        <v>45678</v>
      </c>
      <c r="D352" t="s">
        <v>1250</v>
      </c>
      <c r="E352" t="s">
        <v>1255</v>
      </c>
      <c r="F352">
        <f t="shared" ca="1" si="22"/>
        <v>5</v>
      </c>
      <c r="G352">
        <v>60</v>
      </c>
      <c r="H352">
        <f t="shared" ca="1" si="23"/>
        <v>300</v>
      </c>
      <c r="I352" t="s">
        <v>214</v>
      </c>
      <c r="J352" t="str">
        <f ca="1">VLOOKUP(B352,Customer_Data!$A:$D,4,FALSE)</f>
        <v>Regular</v>
      </c>
    </row>
    <row r="353" spans="1:10" x14ac:dyDescent="0.35">
      <c r="A353" t="s">
        <v>600</v>
      </c>
      <c r="B353" t="str">
        <f t="shared" ca="1" si="20"/>
        <v>CUST075</v>
      </c>
      <c r="C353" s="1">
        <f t="shared" ca="1" si="21"/>
        <v>45796</v>
      </c>
      <c r="D353" t="s">
        <v>1252</v>
      </c>
      <c r="E353" t="s">
        <v>1257</v>
      </c>
      <c r="F353">
        <f t="shared" ca="1" si="22"/>
        <v>10</v>
      </c>
      <c r="G353">
        <v>120</v>
      </c>
      <c r="H353">
        <f t="shared" ca="1" si="23"/>
        <v>1200</v>
      </c>
      <c r="I353" t="s">
        <v>213</v>
      </c>
      <c r="J353" t="str">
        <f ca="1">VLOOKUP(B353,Customer_Data!$A:$D,4,FALSE)</f>
        <v>Silver</v>
      </c>
    </row>
    <row r="354" spans="1:10" x14ac:dyDescent="0.35">
      <c r="A354" t="s">
        <v>601</v>
      </c>
      <c r="B354" t="str">
        <f t="shared" ca="1" si="20"/>
        <v>CUST124</v>
      </c>
      <c r="C354" s="1">
        <f t="shared" ca="1" si="21"/>
        <v>45784</v>
      </c>
      <c r="D354" t="s">
        <v>1253</v>
      </c>
      <c r="E354" t="s">
        <v>1258</v>
      </c>
      <c r="F354">
        <f t="shared" ca="1" si="22"/>
        <v>4</v>
      </c>
      <c r="G354">
        <v>90</v>
      </c>
      <c r="H354">
        <f t="shared" ca="1" si="23"/>
        <v>360</v>
      </c>
      <c r="I354" t="s">
        <v>211</v>
      </c>
      <c r="J354" t="str">
        <f ca="1">VLOOKUP(B354,Customer_Data!$A:$D,4,FALSE)</f>
        <v>Regular</v>
      </c>
    </row>
    <row r="355" spans="1:10" x14ac:dyDescent="0.35">
      <c r="A355" t="s">
        <v>602</v>
      </c>
      <c r="B355" t="str">
        <f t="shared" ca="1" si="20"/>
        <v>CUST163</v>
      </c>
      <c r="C355" s="1">
        <f t="shared" ca="1" si="21"/>
        <v>45782</v>
      </c>
      <c r="D355" t="s">
        <v>1253</v>
      </c>
      <c r="E355" t="s">
        <v>1258</v>
      </c>
      <c r="F355">
        <f t="shared" ca="1" si="22"/>
        <v>1</v>
      </c>
      <c r="G355">
        <v>90</v>
      </c>
      <c r="H355">
        <f t="shared" ca="1" si="23"/>
        <v>90</v>
      </c>
      <c r="I355" t="s">
        <v>213</v>
      </c>
      <c r="J355" t="str">
        <f ca="1">VLOOKUP(B355,Customer_Data!$A:$D,4,FALSE)</f>
        <v>Regular</v>
      </c>
    </row>
    <row r="356" spans="1:10" x14ac:dyDescent="0.35">
      <c r="A356" t="s">
        <v>603</v>
      </c>
      <c r="B356" t="str">
        <f t="shared" ca="1" si="20"/>
        <v>CUST029</v>
      </c>
      <c r="C356" s="1">
        <f t="shared" ca="1" si="21"/>
        <v>45856</v>
      </c>
      <c r="D356" t="s">
        <v>1250</v>
      </c>
      <c r="E356" t="s">
        <v>1255</v>
      </c>
      <c r="F356">
        <f t="shared" ca="1" si="22"/>
        <v>5</v>
      </c>
      <c r="G356">
        <v>60</v>
      </c>
      <c r="H356">
        <f t="shared" ca="1" si="23"/>
        <v>300</v>
      </c>
      <c r="I356" t="s">
        <v>214</v>
      </c>
      <c r="J356" t="str">
        <f ca="1">VLOOKUP(B356,Customer_Data!$A:$D,4,FALSE)</f>
        <v>Regular</v>
      </c>
    </row>
    <row r="357" spans="1:10" x14ac:dyDescent="0.35">
      <c r="A357" t="s">
        <v>604</v>
      </c>
      <c r="B357" t="str">
        <f t="shared" ca="1" si="20"/>
        <v>CUST123</v>
      </c>
      <c r="C357" s="1">
        <f t="shared" ca="1" si="21"/>
        <v>45839</v>
      </c>
      <c r="D357" t="s">
        <v>1253</v>
      </c>
      <c r="E357" t="s">
        <v>1258</v>
      </c>
      <c r="F357">
        <f t="shared" ca="1" si="22"/>
        <v>1</v>
      </c>
      <c r="G357">
        <v>90</v>
      </c>
      <c r="H357">
        <f t="shared" ca="1" si="23"/>
        <v>90</v>
      </c>
      <c r="I357" t="s">
        <v>214</v>
      </c>
      <c r="J357" t="str">
        <f ca="1">VLOOKUP(B357,Customer_Data!$A:$D,4,FALSE)</f>
        <v>Regular</v>
      </c>
    </row>
    <row r="358" spans="1:10" x14ac:dyDescent="0.35">
      <c r="A358" t="s">
        <v>605</v>
      </c>
      <c r="B358" t="str">
        <f t="shared" ca="1" si="20"/>
        <v>CUST181</v>
      </c>
      <c r="C358" s="1">
        <f t="shared" ca="1" si="21"/>
        <v>45726</v>
      </c>
      <c r="D358" t="s">
        <v>1251</v>
      </c>
      <c r="E358" t="s">
        <v>1256</v>
      </c>
      <c r="F358">
        <f t="shared" ca="1" si="22"/>
        <v>1</v>
      </c>
      <c r="G358">
        <v>80</v>
      </c>
      <c r="H358">
        <f t="shared" ca="1" si="23"/>
        <v>80</v>
      </c>
      <c r="I358" t="s">
        <v>213</v>
      </c>
      <c r="J358" t="str">
        <f ca="1">VLOOKUP(B358,Customer_Data!$A:$D,4,FALSE)</f>
        <v>Regular</v>
      </c>
    </row>
    <row r="359" spans="1:10" x14ac:dyDescent="0.35">
      <c r="A359" t="s">
        <v>606</v>
      </c>
      <c r="B359" t="str">
        <f t="shared" ca="1" si="20"/>
        <v>CUST019</v>
      </c>
      <c r="C359" s="1">
        <f t="shared" ca="1" si="21"/>
        <v>46014</v>
      </c>
      <c r="D359" t="s">
        <v>1252</v>
      </c>
      <c r="E359" t="s">
        <v>1257</v>
      </c>
      <c r="F359">
        <f t="shared" ca="1" si="22"/>
        <v>5</v>
      </c>
      <c r="G359">
        <v>120</v>
      </c>
      <c r="H359">
        <f t="shared" ca="1" si="23"/>
        <v>600</v>
      </c>
      <c r="I359" t="s">
        <v>211</v>
      </c>
      <c r="J359" t="str">
        <f ca="1">VLOOKUP(B359,Customer_Data!$A:$D,4,FALSE)</f>
        <v>Gold</v>
      </c>
    </row>
    <row r="360" spans="1:10" x14ac:dyDescent="0.35">
      <c r="A360" t="s">
        <v>607</v>
      </c>
      <c r="B360" t="str">
        <f t="shared" ca="1" si="20"/>
        <v>CUST003</v>
      </c>
      <c r="C360" s="1">
        <f t="shared" ca="1" si="21"/>
        <v>45791</v>
      </c>
      <c r="D360" t="s">
        <v>1250</v>
      </c>
      <c r="E360" t="s">
        <v>1255</v>
      </c>
      <c r="F360">
        <f t="shared" ca="1" si="22"/>
        <v>9</v>
      </c>
      <c r="G360">
        <v>60</v>
      </c>
      <c r="H360">
        <f t="shared" ca="1" si="23"/>
        <v>540</v>
      </c>
      <c r="I360" t="s">
        <v>212</v>
      </c>
      <c r="J360" t="str">
        <f ca="1">VLOOKUP(B360,Customer_Data!$A:$D,4,FALSE)</f>
        <v>Regular</v>
      </c>
    </row>
    <row r="361" spans="1:10" x14ac:dyDescent="0.35">
      <c r="A361" t="s">
        <v>608</v>
      </c>
      <c r="B361" t="str">
        <f t="shared" ca="1" si="20"/>
        <v>CUST116</v>
      </c>
      <c r="C361" s="1">
        <f t="shared" ca="1" si="21"/>
        <v>45879</v>
      </c>
      <c r="D361" t="s">
        <v>1253</v>
      </c>
      <c r="E361" t="s">
        <v>1258</v>
      </c>
      <c r="F361">
        <f t="shared" ca="1" si="22"/>
        <v>6</v>
      </c>
      <c r="G361">
        <v>90</v>
      </c>
      <c r="H361">
        <f t="shared" ca="1" si="23"/>
        <v>540</v>
      </c>
      <c r="I361" t="s">
        <v>211</v>
      </c>
      <c r="J361" t="str">
        <f ca="1">VLOOKUP(B361,Customer_Data!$A:$D,4,FALSE)</f>
        <v>Silver</v>
      </c>
    </row>
    <row r="362" spans="1:10" x14ac:dyDescent="0.35">
      <c r="A362" t="s">
        <v>609</v>
      </c>
      <c r="B362" t="str">
        <f t="shared" ca="1" si="20"/>
        <v>CUST062</v>
      </c>
      <c r="C362" s="1">
        <f t="shared" ca="1" si="21"/>
        <v>46000</v>
      </c>
      <c r="D362" t="s">
        <v>1250</v>
      </c>
      <c r="E362" t="s">
        <v>1255</v>
      </c>
      <c r="F362">
        <f t="shared" ca="1" si="22"/>
        <v>8</v>
      </c>
      <c r="G362">
        <v>60</v>
      </c>
      <c r="H362">
        <f t="shared" ca="1" si="23"/>
        <v>480</v>
      </c>
      <c r="I362" t="s">
        <v>212</v>
      </c>
      <c r="J362" t="str">
        <f ca="1">VLOOKUP(B362,Customer_Data!$A:$D,4,FALSE)</f>
        <v>Regular</v>
      </c>
    </row>
    <row r="363" spans="1:10" x14ac:dyDescent="0.35">
      <c r="A363" t="s">
        <v>610</v>
      </c>
      <c r="B363" t="str">
        <f t="shared" ca="1" si="20"/>
        <v>CUST159</v>
      </c>
      <c r="C363" s="1">
        <f t="shared" ca="1" si="21"/>
        <v>45955</v>
      </c>
      <c r="D363" t="s">
        <v>1252</v>
      </c>
      <c r="E363" t="s">
        <v>1257</v>
      </c>
      <c r="F363">
        <f t="shared" ca="1" si="22"/>
        <v>1</v>
      </c>
      <c r="G363">
        <v>120</v>
      </c>
      <c r="H363">
        <f t="shared" ca="1" si="23"/>
        <v>120</v>
      </c>
      <c r="I363" t="s">
        <v>213</v>
      </c>
      <c r="J363" t="str">
        <f ca="1">VLOOKUP(B363,Customer_Data!$A:$D,4,FALSE)</f>
        <v>Gold</v>
      </c>
    </row>
    <row r="364" spans="1:10" x14ac:dyDescent="0.35">
      <c r="A364" t="s">
        <v>611</v>
      </c>
      <c r="B364" t="str">
        <f t="shared" ca="1" si="20"/>
        <v>CUST108</v>
      </c>
      <c r="C364" s="1">
        <f t="shared" ca="1" si="21"/>
        <v>45882</v>
      </c>
      <c r="D364" t="s">
        <v>1253</v>
      </c>
      <c r="E364" t="s">
        <v>1258</v>
      </c>
      <c r="F364">
        <f t="shared" ca="1" si="22"/>
        <v>8</v>
      </c>
      <c r="G364">
        <v>90</v>
      </c>
      <c r="H364">
        <f t="shared" ca="1" si="23"/>
        <v>720</v>
      </c>
      <c r="I364" t="s">
        <v>211</v>
      </c>
      <c r="J364" t="str">
        <f ca="1">VLOOKUP(B364,Customer_Data!$A:$D,4,FALSE)</f>
        <v>Regular</v>
      </c>
    </row>
    <row r="365" spans="1:10" x14ac:dyDescent="0.35">
      <c r="A365" t="s">
        <v>612</v>
      </c>
      <c r="B365" t="str">
        <f t="shared" ca="1" si="20"/>
        <v>CUST148</v>
      </c>
      <c r="C365" s="1">
        <f t="shared" ca="1" si="21"/>
        <v>46006</v>
      </c>
      <c r="D365" t="s">
        <v>1250</v>
      </c>
      <c r="E365" t="s">
        <v>1255</v>
      </c>
      <c r="F365">
        <f t="shared" ca="1" si="22"/>
        <v>1</v>
      </c>
      <c r="G365">
        <v>60</v>
      </c>
      <c r="H365">
        <f t="shared" ca="1" si="23"/>
        <v>60</v>
      </c>
      <c r="I365" t="s">
        <v>213</v>
      </c>
      <c r="J365" t="str">
        <f ca="1">VLOOKUP(B365,Customer_Data!$A:$D,4,FALSE)</f>
        <v>Regular</v>
      </c>
    </row>
    <row r="366" spans="1:10" x14ac:dyDescent="0.35">
      <c r="A366" t="s">
        <v>613</v>
      </c>
      <c r="B366" t="str">
        <f t="shared" ca="1" si="20"/>
        <v>CUST117</v>
      </c>
      <c r="C366" s="1">
        <f t="shared" ca="1" si="21"/>
        <v>45984</v>
      </c>
      <c r="D366" t="s">
        <v>1252</v>
      </c>
      <c r="E366" t="s">
        <v>1257</v>
      </c>
      <c r="F366">
        <f t="shared" ca="1" si="22"/>
        <v>6</v>
      </c>
      <c r="G366">
        <v>120</v>
      </c>
      <c r="H366">
        <f t="shared" ca="1" si="23"/>
        <v>720</v>
      </c>
      <c r="I366" t="s">
        <v>212</v>
      </c>
      <c r="J366" t="str">
        <f ca="1">VLOOKUP(B366,Customer_Data!$A:$D,4,FALSE)</f>
        <v>Silver</v>
      </c>
    </row>
    <row r="367" spans="1:10" x14ac:dyDescent="0.35">
      <c r="A367" t="s">
        <v>614</v>
      </c>
      <c r="B367" t="str">
        <f t="shared" ca="1" si="20"/>
        <v>CUST140</v>
      </c>
      <c r="C367" s="1">
        <f t="shared" ca="1" si="21"/>
        <v>45905</v>
      </c>
      <c r="D367" t="s">
        <v>1250</v>
      </c>
      <c r="E367" t="s">
        <v>1255</v>
      </c>
      <c r="F367">
        <f t="shared" ca="1" si="22"/>
        <v>5</v>
      </c>
      <c r="G367">
        <v>60</v>
      </c>
      <c r="H367">
        <f t="shared" ca="1" si="23"/>
        <v>300</v>
      </c>
      <c r="I367" t="s">
        <v>213</v>
      </c>
      <c r="J367" t="str">
        <f ca="1">VLOOKUP(B367,Customer_Data!$A:$D,4,FALSE)</f>
        <v>Gold</v>
      </c>
    </row>
    <row r="368" spans="1:10" x14ac:dyDescent="0.35">
      <c r="A368" t="s">
        <v>615</v>
      </c>
      <c r="B368" t="str">
        <f t="shared" ca="1" si="20"/>
        <v>CUST025</v>
      </c>
      <c r="C368" s="1">
        <f t="shared" ca="1" si="21"/>
        <v>45774</v>
      </c>
      <c r="D368" t="s">
        <v>1251</v>
      </c>
      <c r="E368" t="s">
        <v>1256</v>
      </c>
      <c r="F368">
        <f t="shared" ca="1" si="22"/>
        <v>6</v>
      </c>
      <c r="G368">
        <v>80</v>
      </c>
      <c r="H368">
        <f t="shared" ca="1" si="23"/>
        <v>480</v>
      </c>
      <c r="I368" t="s">
        <v>213</v>
      </c>
      <c r="J368" t="str">
        <f ca="1">VLOOKUP(B368,Customer_Data!$A:$D,4,FALSE)</f>
        <v>Regular</v>
      </c>
    </row>
    <row r="369" spans="1:10" x14ac:dyDescent="0.35">
      <c r="A369" t="s">
        <v>616</v>
      </c>
      <c r="B369" t="str">
        <f t="shared" ca="1" si="20"/>
        <v>CUST017</v>
      </c>
      <c r="C369" s="1">
        <f t="shared" ca="1" si="21"/>
        <v>45984</v>
      </c>
      <c r="D369" t="s">
        <v>1250</v>
      </c>
      <c r="E369" t="s">
        <v>1255</v>
      </c>
      <c r="F369">
        <f t="shared" ca="1" si="22"/>
        <v>1</v>
      </c>
      <c r="G369">
        <v>60</v>
      </c>
      <c r="H369">
        <f t="shared" ca="1" si="23"/>
        <v>60</v>
      </c>
      <c r="I369" t="s">
        <v>212</v>
      </c>
      <c r="J369" t="str">
        <f ca="1">VLOOKUP(B369,Customer_Data!$A:$D,4,FALSE)</f>
        <v>Silver</v>
      </c>
    </row>
    <row r="370" spans="1:10" x14ac:dyDescent="0.35">
      <c r="A370" t="s">
        <v>617</v>
      </c>
      <c r="B370" t="str">
        <f t="shared" ca="1" si="20"/>
        <v>CUST044</v>
      </c>
      <c r="C370" s="1">
        <f t="shared" ca="1" si="21"/>
        <v>45876</v>
      </c>
      <c r="D370" t="s">
        <v>1252</v>
      </c>
      <c r="E370" t="s">
        <v>1257</v>
      </c>
      <c r="F370">
        <f t="shared" ca="1" si="22"/>
        <v>2</v>
      </c>
      <c r="G370">
        <v>120</v>
      </c>
      <c r="H370">
        <f t="shared" ca="1" si="23"/>
        <v>240</v>
      </c>
      <c r="I370" t="s">
        <v>211</v>
      </c>
      <c r="J370" t="str">
        <f ca="1">VLOOKUP(B370,Customer_Data!$A:$D,4,FALSE)</f>
        <v>Regular</v>
      </c>
    </row>
    <row r="371" spans="1:10" x14ac:dyDescent="0.35">
      <c r="A371" t="s">
        <v>618</v>
      </c>
      <c r="B371" t="str">
        <f t="shared" ca="1" si="20"/>
        <v>CUST113</v>
      </c>
      <c r="C371" s="1">
        <f t="shared" ca="1" si="21"/>
        <v>45858</v>
      </c>
      <c r="D371" t="s">
        <v>1251</v>
      </c>
      <c r="E371" t="s">
        <v>1256</v>
      </c>
      <c r="F371">
        <f t="shared" ca="1" si="22"/>
        <v>2</v>
      </c>
      <c r="G371">
        <v>80</v>
      </c>
      <c r="H371">
        <f t="shared" ca="1" si="23"/>
        <v>160</v>
      </c>
      <c r="I371" t="s">
        <v>213</v>
      </c>
      <c r="J371" t="str">
        <f ca="1">VLOOKUP(B371,Customer_Data!$A:$D,4,FALSE)</f>
        <v>Silver</v>
      </c>
    </row>
    <row r="372" spans="1:10" x14ac:dyDescent="0.35">
      <c r="A372" t="s">
        <v>619</v>
      </c>
      <c r="B372" t="str">
        <f t="shared" ca="1" si="20"/>
        <v>CUST127</v>
      </c>
      <c r="C372" s="1">
        <f t="shared" ca="1" si="21"/>
        <v>45932</v>
      </c>
      <c r="D372" t="s">
        <v>1249</v>
      </c>
      <c r="E372" t="s">
        <v>1254</v>
      </c>
      <c r="F372">
        <f t="shared" ca="1" si="22"/>
        <v>6</v>
      </c>
      <c r="G372">
        <v>25</v>
      </c>
      <c r="H372">
        <f t="shared" ca="1" si="23"/>
        <v>150</v>
      </c>
      <c r="I372" t="s">
        <v>212</v>
      </c>
      <c r="J372" t="str">
        <f ca="1">VLOOKUP(B372,Customer_Data!$A:$D,4,FALSE)</f>
        <v>Regular</v>
      </c>
    </row>
    <row r="373" spans="1:10" x14ac:dyDescent="0.35">
      <c r="A373" t="s">
        <v>620</v>
      </c>
      <c r="B373" t="str">
        <f t="shared" ca="1" si="20"/>
        <v>CUST186</v>
      </c>
      <c r="C373" s="1">
        <f t="shared" ca="1" si="21"/>
        <v>45904</v>
      </c>
      <c r="D373" t="s">
        <v>1251</v>
      </c>
      <c r="E373" t="s">
        <v>1256</v>
      </c>
      <c r="F373">
        <f t="shared" ca="1" si="22"/>
        <v>5</v>
      </c>
      <c r="G373">
        <v>80</v>
      </c>
      <c r="H373">
        <f t="shared" ca="1" si="23"/>
        <v>400</v>
      </c>
      <c r="I373" t="s">
        <v>214</v>
      </c>
      <c r="J373" t="str">
        <f ca="1">VLOOKUP(B373,Customer_Data!$A:$D,4,FALSE)</f>
        <v>Regular</v>
      </c>
    </row>
    <row r="374" spans="1:10" x14ac:dyDescent="0.35">
      <c r="A374" t="s">
        <v>621</v>
      </c>
      <c r="B374" t="str">
        <f t="shared" ca="1" si="20"/>
        <v>CUST198</v>
      </c>
      <c r="C374" s="1">
        <f t="shared" ca="1" si="21"/>
        <v>45809</v>
      </c>
      <c r="D374" t="s">
        <v>1250</v>
      </c>
      <c r="E374" t="s">
        <v>1255</v>
      </c>
      <c r="F374">
        <f t="shared" ca="1" si="22"/>
        <v>6</v>
      </c>
      <c r="G374">
        <v>60</v>
      </c>
      <c r="H374">
        <f t="shared" ca="1" si="23"/>
        <v>360</v>
      </c>
      <c r="I374" t="s">
        <v>212</v>
      </c>
      <c r="J374" t="str">
        <f ca="1">VLOOKUP(B374,Customer_Data!$A:$D,4,FALSE)</f>
        <v>Gold</v>
      </c>
    </row>
    <row r="375" spans="1:10" x14ac:dyDescent="0.35">
      <c r="A375" t="s">
        <v>622</v>
      </c>
      <c r="B375" t="str">
        <f t="shared" ca="1" si="20"/>
        <v>CUST081</v>
      </c>
      <c r="C375" s="1">
        <f t="shared" ca="1" si="21"/>
        <v>45794</v>
      </c>
      <c r="D375" t="s">
        <v>1249</v>
      </c>
      <c r="E375" t="s">
        <v>1254</v>
      </c>
      <c r="F375">
        <f t="shared" ca="1" si="22"/>
        <v>3</v>
      </c>
      <c r="G375">
        <v>25</v>
      </c>
      <c r="H375">
        <f t="shared" ca="1" si="23"/>
        <v>75</v>
      </c>
      <c r="I375" t="s">
        <v>212</v>
      </c>
      <c r="J375" t="str">
        <f ca="1">VLOOKUP(B375,Customer_Data!$A:$D,4,FALSE)</f>
        <v>Regular</v>
      </c>
    </row>
    <row r="376" spans="1:10" x14ac:dyDescent="0.35">
      <c r="A376" t="s">
        <v>623</v>
      </c>
      <c r="B376" t="str">
        <f t="shared" ca="1" si="20"/>
        <v>CUST101</v>
      </c>
      <c r="C376" s="1">
        <f t="shared" ca="1" si="21"/>
        <v>45952</v>
      </c>
      <c r="D376" t="s">
        <v>1250</v>
      </c>
      <c r="E376" t="s">
        <v>1255</v>
      </c>
      <c r="F376">
        <f t="shared" ca="1" si="22"/>
        <v>4</v>
      </c>
      <c r="G376">
        <v>60</v>
      </c>
      <c r="H376">
        <f t="shared" ca="1" si="23"/>
        <v>240</v>
      </c>
      <c r="I376" t="s">
        <v>213</v>
      </c>
      <c r="J376" t="str">
        <f ca="1">VLOOKUP(B376,Customer_Data!$A:$D,4,FALSE)</f>
        <v>Regular</v>
      </c>
    </row>
    <row r="377" spans="1:10" x14ac:dyDescent="0.35">
      <c r="A377" t="s">
        <v>624</v>
      </c>
      <c r="B377" t="str">
        <f t="shared" ca="1" si="20"/>
        <v>CUST035</v>
      </c>
      <c r="C377" s="1">
        <f t="shared" ca="1" si="21"/>
        <v>45999</v>
      </c>
      <c r="D377" t="s">
        <v>1251</v>
      </c>
      <c r="E377" t="s">
        <v>1256</v>
      </c>
      <c r="F377">
        <f t="shared" ca="1" si="22"/>
        <v>10</v>
      </c>
      <c r="G377">
        <v>80</v>
      </c>
      <c r="H377">
        <f t="shared" ca="1" si="23"/>
        <v>800</v>
      </c>
      <c r="I377" t="s">
        <v>214</v>
      </c>
      <c r="J377" t="str">
        <f ca="1">VLOOKUP(B377,Customer_Data!$A:$D,4,FALSE)</f>
        <v>Silver</v>
      </c>
    </row>
    <row r="378" spans="1:10" x14ac:dyDescent="0.35">
      <c r="A378" t="s">
        <v>625</v>
      </c>
      <c r="B378" t="str">
        <f t="shared" ca="1" si="20"/>
        <v>CUST060</v>
      </c>
      <c r="C378" s="1">
        <f t="shared" ca="1" si="21"/>
        <v>45886</v>
      </c>
      <c r="D378" t="s">
        <v>1249</v>
      </c>
      <c r="E378" t="s">
        <v>1254</v>
      </c>
      <c r="F378">
        <f t="shared" ca="1" si="22"/>
        <v>8</v>
      </c>
      <c r="G378">
        <v>25</v>
      </c>
      <c r="H378">
        <f t="shared" ca="1" si="23"/>
        <v>200</v>
      </c>
      <c r="I378" t="s">
        <v>212</v>
      </c>
      <c r="J378" t="str">
        <f ca="1">VLOOKUP(B378,Customer_Data!$A:$D,4,FALSE)</f>
        <v>Gold</v>
      </c>
    </row>
    <row r="379" spans="1:10" x14ac:dyDescent="0.35">
      <c r="A379" t="s">
        <v>626</v>
      </c>
      <c r="B379" t="str">
        <f t="shared" ca="1" si="20"/>
        <v>CUST035</v>
      </c>
      <c r="C379" s="1">
        <f t="shared" ca="1" si="21"/>
        <v>45709</v>
      </c>
      <c r="D379" t="s">
        <v>1250</v>
      </c>
      <c r="E379" t="s">
        <v>1255</v>
      </c>
      <c r="F379">
        <f t="shared" ca="1" si="22"/>
        <v>4</v>
      </c>
      <c r="G379">
        <v>60</v>
      </c>
      <c r="H379">
        <f t="shared" ca="1" si="23"/>
        <v>240</v>
      </c>
      <c r="I379" t="s">
        <v>214</v>
      </c>
      <c r="J379" t="str">
        <f ca="1">VLOOKUP(B379,Customer_Data!$A:$D,4,FALSE)</f>
        <v>Silver</v>
      </c>
    </row>
    <row r="380" spans="1:10" x14ac:dyDescent="0.35">
      <c r="A380" t="s">
        <v>627</v>
      </c>
      <c r="B380" t="str">
        <f t="shared" ca="1" si="20"/>
        <v>CUST160</v>
      </c>
      <c r="C380" s="1">
        <f t="shared" ca="1" si="21"/>
        <v>45856</v>
      </c>
      <c r="D380" t="s">
        <v>1251</v>
      </c>
      <c r="E380" t="s">
        <v>1256</v>
      </c>
      <c r="F380">
        <f t="shared" ca="1" si="22"/>
        <v>4</v>
      </c>
      <c r="G380">
        <v>80</v>
      </c>
      <c r="H380">
        <f t="shared" ca="1" si="23"/>
        <v>320</v>
      </c>
      <c r="I380" t="s">
        <v>212</v>
      </c>
      <c r="J380" t="str">
        <f ca="1">VLOOKUP(B380,Customer_Data!$A:$D,4,FALSE)</f>
        <v>Gold</v>
      </c>
    </row>
    <row r="381" spans="1:10" x14ac:dyDescent="0.35">
      <c r="A381" t="s">
        <v>628</v>
      </c>
      <c r="B381" t="str">
        <f t="shared" ca="1" si="20"/>
        <v>CUST123</v>
      </c>
      <c r="C381" s="1">
        <f t="shared" ca="1" si="21"/>
        <v>45837</v>
      </c>
      <c r="D381" t="s">
        <v>1249</v>
      </c>
      <c r="E381" t="s">
        <v>1254</v>
      </c>
      <c r="F381">
        <f t="shared" ca="1" si="22"/>
        <v>10</v>
      </c>
      <c r="G381">
        <v>25</v>
      </c>
      <c r="H381">
        <f t="shared" ca="1" si="23"/>
        <v>250</v>
      </c>
      <c r="I381" t="s">
        <v>214</v>
      </c>
      <c r="J381" t="str">
        <f ca="1">VLOOKUP(B381,Customer_Data!$A:$D,4,FALSE)</f>
        <v>Regular</v>
      </c>
    </row>
    <row r="382" spans="1:10" x14ac:dyDescent="0.35">
      <c r="A382" t="s">
        <v>629</v>
      </c>
      <c r="B382" t="str">
        <f t="shared" ca="1" si="20"/>
        <v>CUST143</v>
      </c>
      <c r="C382" s="1">
        <f t="shared" ca="1" si="21"/>
        <v>45716</v>
      </c>
      <c r="D382" t="s">
        <v>1250</v>
      </c>
      <c r="E382" t="s">
        <v>1255</v>
      </c>
      <c r="F382">
        <f t="shared" ca="1" si="22"/>
        <v>10</v>
      </c>
      <c r="G382">
        <v>60</v>
      </c>
      <c r="H382">
        <f t="shared" ca="1" si="23"/>
        <v>600</v>
      </c>
      <c r="I382" t="s">
        <v>212</v>
      </c>
      <c r="J382" t="str">
        <f ca="1">VLOOKUP(B382,Customer_Data!$A:$D,4,FALSE)</f>
        <v>Regular</v>
      </c>
    </row>
    <row r="383" spans="1:10" x14ac:dyDescent="0.35">
      <c r="A383" t="s">
        <v>630</v>
      </c>
      <c r="B383" t="str">
        <f t="shared" ca="1" si="20"/>
        <v>CUST065</v>
      </c>
      <c r="C383" s="1">
        <f t="shared" ca="1" si="21"/>
        <v>45950</v>
      </c>
      <c r="D383" t="s">
        <v>1253</v>
      </c>
      <c r="E383" t="s">
        <v>1258</v>
      </c>
      <c r="F383">
        <f t="shared" ca="1" si="22"/>
        <v>5</v>
      </c>
      <c r="G383">
        <v>90</v>
      </c>
      <c r="H383">
        <f t="shared" ca="1" si="23"/>
        <v>450</v>
      </c>
      <c r="I383" t="s">
        <v>212</v>
      </c>
      <c r="J383" t="str">
        <f ca="1">VLOOKUP(B383,Customer_Data!$A:$D,4,FALSE)</f>
        <v>Regular</v>
      </c>
    </row>
    <row r="384" spans="1:10" x14ac:dyDescent="0.35">
      <c r="A384" t="s">
        <v>631</v>
      </c>
      <c r="B384" t="str">
        <f t="shared" ca="1" si="20"/>
        <v>CUST189</v>
      </c>
      <c r="C384" s="1">
        <f t="shared" ca="1" si="21"/>
        <v>45960</v>
      </c>
      <c r="D384" t="s">
        <v>1250</v>
      </c>
      <c r="E384" t="s">
        <v>1255</v>
      </c>
      <c r="F384">
        <f t="shared" ca="1" si="22"/>
        <v>1</v>
      </c>
      <c r="G384">
        <v>60</v>
      </c>
      <c r="H384">
        <f t="shared" ca="1" si="23"/>
        <v>60</v>
      </c>
      <c r="I384" t="s">
        <v>213</v>
      </c>
      <c r="J384" t="str">
        <f ca="1">VLOOKUP(B384,Customer_Data!$A:$D,4,FALSE)</f>
        <v>Regular</v>
      </c>
    </row>
    <row r="385" spans="1:10" x14ac:dyDescent="0.35">
      <c r="A385" t="s">
        <v>632</v>
      </c>
      <c r="B385" t="str">
        <f t="shared" ca="1" si="20"/>
        <v>CUST016</v>
      </c>
      <c r="C385" s="1">
        <f t="shared" ca="1" si="21"/>
        <v>45822</v>
      </c>
      <c r="D385" t="s">
        <v>1250</v>
      </c>
      <c r="E385" t="s">
        <v>1255</v>
      </c>
      <c r="F385">
        <f t="shared" ca="1" si="22"/>
        <v>5</v>
      </c>
      <c r="G385">
        <v>60</v>
      </c>
      <c r="H385">
        <f t="shared" ca="1" si="23"/>
        <v>300</v>
      </c>
      <c r="I385" t="s">
        <v>214</v>
      </c>
      <c r="J385" t="str">
        <f ca="1">VLOOKUP(B385,Customer_Data!$A:$D,4,FALSE)</f>
        <v>Silver</v>
      </c>
    </row>
    <row r="386" spans="1:10" x14ac:dyDescent="0.35">
      <c r="A386" t="s">
        <v>633</v>
      </c>
      <c r="B386" t="str">
        <f t="shared" ca="1" si="20"/>
        <v>CUST090</v>
      </c>
      <c r="C386" s="1">
        <f t="shared" ca="1" si="21"/>
        <v>45941</v>
      </c>
      <c r="D386" t="s">
        <v>1252</v>
      </c>
      <c r="E386" t="s">
        <v>1257</v>
      </c>
      <c r="F386">
        <f t="shared" ca="1" si="22"/>
        <v>1</v>
      </c>
      <c r="G386">
        <v>120</v>
      </c>
      <c r="H386">
        <f t="shared" ca="1" si="23"/>
        <v>120</v>
      </c>
      <c r="I386" t="s">
        <v>212</v>
      </c>
      <c r="J386" t="str">
        <f ca="1">VLOOKUP(B386,Customer_Data!$A:$D,4,FALSE)</f>
        <v>Regular</v>
      </c>
    </row>
    <row r="387" spans="1:10" x14ac:dyDescent="0.35">
      <c r="A387" t="s">
        <v>634</v>
      </c>
      <c r="B387" t="str">
        <f t="shared" ref="B387:B450" ca="1" si="24">"CUST"&amp;TEXT(RANDBETWEEN(1,200),"000")</f>
        <v>CUST058</v>
      </c>
      <c r="C387" s="1">
        <f t="shared" ref="C387:C450" ca="1" si="25">DATE(2025,1,1)+RANDBETWEEN(0,364)</f>
        <v>45766</v>
      </c>
      <c r="D387" t="s">
        <v>1253</v>
      </c>
      <c r="E387" t="s">
        <v>1258</v>
      </c>
      <c r="F387">
        <f t="shared" ref="F387:F450" ca="1" si="26">RANDBETWEEN(1,10)</f>
        <v>10</v>
      </c>
      <c r="G387">
        <v>90</v>
      </c>
      <c r="H387">
        <f t="shared" ref="H387:H450" ca="1" si="27">F387*G387</f>
        <v>900</v>
      </c>
      <c r="I387" t="s">
        <v>214</v>
      </c>
      <c r="J387" t="str">
        <f ca="1">VLOOKUP(B387,Customer_Data!$A:$D,4,FALSE)</f>
        <v>Gold</v>
      </c>
    </row>
    <row r="388" spans="1:10" x14ac:dyDescent="0.35">
      <c r="A388" t="s">
        <v>635</v>
      </c>
      <c r="B388" t="str">
        <f t="shared" ca="1" si="24"/>
        <v>CUST006</v>
      </c>
      <c r="C388" s="1">
        <f t="shared" ca="1" si="25"/>
        <v>45990</v>
      </c>
      <c r="D388" t="s">
        <v>1252</v>
      </c>
      <c r="E388" t="s">
        <v>1257</v>
      </c>
      <c r="F388">
        <f t="shared" ca="1" si="26"/>
        <v>5</v>
      </c>
      <c r="G388">
        <v>120</v>
      </c>
      <c r="H388">
        <f t="shared" ca="1" si="27"/>
        <v>600</v>
      </c>
      <c r="I388" t="s">
        <v>211</v>
      </c>
      <c r="J388" t="str">
        <f ca="1">VLOOKUP(B388,Customer_Data!$A:$D,4,FALSE)</f>
        <v>Regular</v>
      </c>
    </row>
    <row r="389" spans="1:10" x14ac:dyDescent="0.35">
      <c r="A389" t="s">
        <v>636</v>
      </c>
      <c r="B389" t="str">
        <f t="shared" ca="1" si="24"/>
        <v>CUST034</v>
      </c>
      <c r="C389" s="1">
        <f t="shared" ca="1" si="25"/>
        <v>45949</v>
      </c>
      <c r="D389" t="s">
        <v>1252</v>
      </c>
      <c r="E389" t="s">
        <v>1257</v>
      </c>
      <c r="F389">
        <f t="shared" ca="1" si="26"/>
        <v>10</v>
      </c>
      <c r="G389">
        <v>120</v>
      </c>
      <c r="H389">
        <f t="shared" ca="1" si="27"/>
        <v>1200</v>
      </c>
      <c r="I389" t="s">
        <v>212</v>
      </c>
      <c r="J389" t="str">
        <f ca="1">VLOOKUP(B389,Customer_Data!$A:$D,4,FALSE)</f>
        <v>Silver</v>
      </c>
    </row>
    <row r="390" spans="1:10" x14ac:dyDescent="0.35">
      <c r="A390" t="s">
        <v>637</v>
      </c>
      <c r="B390" t="str">
        <f t="shared" ca="1" si="24"/>
        <v>CUST184</v>
      </c>
      <c r="C390" s="1">
        <f t="shared" ca="1" si="25"/>
        <v>45758</v>
      </c>
      <c r="D390" t="s">
        <v>1251</v>
      </c>
      <c r="E390" t="s">
        <v>1256</v>
      </c>
      <c r="F390">
        <f t="shared" ca="1" si="26"/>
        <v>1</v>
      </c>
      <c r="G390">
        <v>80</v>
      </c>
      <c r="H390">
        <f t="shared" ca="1" si="27"/>
        <v>80</v>
      </c>
      <c r="I390" t="s">
        <v>214</v>
      </c>
      <c r="J390" t="str">
        <f ca="1">VLOOKUP(B390,Customer_Data!$A:$D,4,FALSE)</f>
        <v>Regular</v>
      </c>
    </row>
    <row r="391" spans="1:10" x14ac:dyDescent="0.35">
      <c r="A391" t="s">
        <v>638</v>
      </c>
      <c r="B391" t="str">
        <f t="shared" ca="1" si="24"/>
        <v>CUST062</v>
      </c>
      <c r="C391" s="1">
        <f t="shared" ca="1" si="25"/>
        <v>45780</v>
      </c>
      <c r="D391" t="s">
        <v>1251</v>
      </c>
      <c r="E391" t="s">
        <v>1256</v>
      </c>
      <c r="F391">
        <f t="shared" ca="1" si="26"/>
        <v>3</v>
      </c>
      <c r="G391">
        <v>80</v>
      </c>
      <c r="H391">
        <f t="shared" ca="1" si="27"/>
        <v>240</v>
      </c>
      <c r="I391" t="s">
        <v>211</v>
      </c>
      <c r="J391" t="str">
        <f ca="1">VLOOKUP(B391,Customer_Data!$A:$D,4,FALSE)</f>
        <v>Regular</v>
      </c>
    </row>
    <row r="392" spans="1:10" x14ac:dyDescent="0.35">
      <c r="A392" t="s">
        <v>639</v>
      </c>
      <c r="B392" t="str">
        <f t="shared" ca="1" si="24"/>
        <v>CUST008</v>
      </c>
      <c r="C392" s="1">
        <f t="shared" ca="1" si="25"/>
        <v>45961</v>
      </c>
      <c r="D392" t="s">
        <v>1253</v>
      </c>
      <c r="E392" t="s">
        <v>1258</v>
      </c>
      <c r="F392">
        <f t="shared" ca="1" si="26"/>
        <v>5</v>
      </c>
      <c r="G392">
        <v>90</v>
      </c>
      <c r="H392">
        <f t="shared" ca="1" si="27"/>
        <v>450</v>
      </c>
      <c r="I392" t="s">
        <v>213</v>
      </c>
      <c r="J392" t="str">
        <f ca="1">VLOOKUP(B392,Customer_Data!$A:$D,4,FALSE)</f>
        <v>Regular</v>
      </c>
    </row>
    <row r="393" spans="1:10" x14ac:dyDescent="0.35">
      <c r="A393" t="s">
        <v>640</v>
      </c>
      <c r="B393" t="str">
        <f t="shared" ca="1" si="24"/>
        <v>CUST200</v>
      </c>
      <c r="C393" s="1">
        <f t="shared" ca="1" si="25"/>
        <v>45795</v>
      </c>
      <c r="D393" t="s">
        <v>1250</v>
      </c>
      <c r="E393" t="s">
        <v>1255</v>
      </c>
      <c r="F393">
        <f t="shared" ca="1" si="26"/>
        <v>9</v>
      </c>
      <c r="G393">
        <v>60</v>
      </c>
      <c r="H393">
        <f t="shared" ca="1" si="27"/>
        <v>540</v>
      </c>
      <c r="I393" t="s">
        <v>212</v>
      </c>
      <c r="J393" t="str">
        <f ca="1">VLOOKUP(B393,Customer_Data!$A:$D,4,FALSE)</f>
        <v>Gold</v>
      </c>
    </row>
    <row r="394" spans="1:10" x14ac:dyDescent="0.35">
      <c r="A394" t="s">
        <v>641</v>
      </c>
      <c r="B394" t="str">
        <f t="shared" ca="1" si="24"/>
        <v>CUST070</v>
      </c>
      <c r="C394" s="1">
        <f t="shared" ca="1" si="25"/>
        <v>45777</v>
      </c>
      <c r="D394" t="s">
        <v>1249</v>
      </c>
      <c r="E394" t="s">
        <v>1254</v>
      </c>
      <c r="F394">
        <f t="shared" ca="1" si="26"/>
        <v>6</v>
      </c>
      <c r="G394">
        <v>25</v>
      </c>
      <c r="H394">
        <f t="shared" ca="1" si="27"/>
        <v>150</v>
      </c>
      <c r="I394" t="s">
        <v>211</v>
      </c>
      <c r="J394" t="str">
        <f ca="1">VLOOKUP(B394,Customer_Data!$A:$D,4,FALSE)</f>
        <v>Regular</v>
      </c>
    </row>
    <row r="395" spans="1:10" x14ac:dyDescent="0.35">
      <c r="A395" t="s">
        <v>642</v>
      </c>
      <c r="B395" t="str">
        <f t="shared" ca="1" si="24"/>
        <v>CUST005</v>
      </c>
      <c r="C395" s="1">
        <f t="shared" ca="1" si="25"/>
        <v>45885</v>
      </c>
      <c r="D395" t="s">
        <v>1250</v>
      </c>
      <c r="E395" t="s">
        <v>1255</v>
      </c>
      <c r="F395">
        <f t="shared" ca="1" si="26"/>
        <v>5</v>
      </c>
      <c r="G395">
        <v>60</v>
      </c>
      <c r="H395">
        <f t="shared" ca="1" si="27"/>
        <v>300</v>
      </c>
      <c r="I395" t="s">
        <v>214</v>
      </c>
      <c r="J395" t="str">
        <f ca="1">VLOOKUP(B395,Customer_Data!$A:$D,4,FALSE)</f>
        <v>Regular</v>
      </c>
    </row>
    <row r="396" spans="1:10" x14ac:dyDescent="0.35">
      <c r="A396" t="s">
        <v>643</v>
      </c>
      <c r="B396" t="str">
        <f t="shared" ca="1" si="24"/>
        <v>CUST017</v>
      </c>
      <c r="C396" s="1">
        <f t="shared" ca="1" si="25"/>
        <v>46011</v>
      </c>
      <c r="D396" t="s">
        <v>1253</v>
      </c>
      <c r="E396" t="s">
        <v>1258</v>
      </c>
      <c r="F396">
        <f t="shared" ca="1" si="26"/>
        <v>6</v>
      </c>
      <c r="G396">
        <v>90</v>
      </c>
      <c r="H396">
        <f t="shared" ca="1" si="27"/>
        <v>540</v>
      </c>
      <c r="I396" t="s">
        <v>214</v>
      </c>
      <c r="J396" t="str">
        <f ca="1">VLOOKUP(B396,Customer_Data!$A:$D,4,FALSE)</f>
        <v>Silver</v>
      </c>
    </row>
    <row r="397" spans="1:10" x14ac:dyDescent="0.35">
      <c r="A397" t="s">
        <v>644</v>
      </c>
      <c r="B397" t="str">
        <f t="shared" ca="1" si="24"/>
        <v>CUST177</v>
      </c>
      <c r="C397" s="1">
        <f t="shared" ca="1" si="25"/>
        <v>45883</v>
      </c>
      <c r="D397" t="s">
        <v>1249</v>
      </c>
      <c r="E397" t="s">
        <v>1254</v>
      </c>
      <c r="F397">
        <f t="shared" ca="1" si="26"/>
        <v>2</v>
      </c>
      <c r="G397">
        <v>25</v>
      </c>
      <c r="H397">
        <f t="shared" ca="1" si="27"/>
        <v>50</v>
      </c>
      <c r="I397" t="s">
        <v>211</v>
      </c>
      <c r="J397" t="str">
        <f ca="1">VLOOKUP(B397,Customer_Data!$A:$D,4,FALSE)</f>
        <v>Silver</v>
      </c>
    </row>
    <row r="398" spans="1:10" x14ac:dyDescent="0.35">
      <c r="A398" t="s">
        <v>645</v>
      </c>
      <c r="B398" t="str">
        <f t="shared" ca="1" si="24"/>
        <v>CUST032</v>
      </c>
      <c r="C398" s="1">
        <f t="shared" ca="1" si="25"/>
        <v>45856</v>
      </c>
      <c r="D398" t="s">
        <v>1251</v>
      </c>
      <c r="E398" t="s">
        <v>1256</v>
      </c>
      <c r="F398">
        <f t="shared" ca="1" si="26"/>
        <v>1</v>
      </c>
      <c r="G398">
        <v>80</v>
      </c>
      <c r="H398">
        <f t="shared" ca="1" si="27"/>
        <v>80</v>
      </c>
      <c r="I398" t="s">
        <v>214</v>
      </c>
      <c r="J398" t="str">
        <f ca="1">VLOOKUP(B398,Customer_Data!$A:$D,4,FALSE)</f>
        <v>Regular</v>
      </c>
    </row>
    <row r="399" spans="1:10" x14ac:dyDescent="0.35">
      <c r="A399" t="s">
        <v>646</v>
      </c>
      <c r="B399" t="str">
        <f t="shared" ca="1" si="24"/>
        <v>CUST009</v>
      </c>
      <c r="C399" s="1">
        <f t="shared" ca="1" si="25"/>
        <v>45973</v>
      </c>
      <c r="D399" t="s">
        <v>1253</v>
      </c>
      <c r="E399" t="s">
        <v>1258</v>
      </c>
      <c r="F399">
        <f t="shared" ca="1" si="26"/>
        <v>3</v>
      </c>
      <c r="G399">
        <v>90</v>
      </c>
      <c r="H399">
        <f t="shared" ca="1" si="27"/>
        <v>270</v>
      </c>
      <c r="I399" t="s">
        <v>212</v>
      </c>
      <c r="J399" t="str">
        <f ca="1">VLOOKUP(B399,Customer_Data!$A:$D,4,FALSE)</f>
        <v>Regular</v>
      </c>
    </row>
    <row r="400" spans="1:10" x14ac:dyDescent="0.35">
      <c r="A400" t="s">
        <v>647</v>
      </c>
      <c r="B400" t="str">
        <f t="shared" ca="1" si="24"/>
        <v>CUST101</v>
      </c>
      <c r="C400" s="1">
        <f t="shared" ca="1" si="25"/>
        <v>46005</v>
      </c>
      <c r="D400" t="s">
        <v>1250</v>
      </c>
      <c r="E400" t="s">
        <v>1255</v>
      </c>
      <c r="F400">
        <f t="shared" ca="1" si="26"/>
        <v>7</v>
      </c>
      <c r="G400">
        <v>60</v>
      </c>
      <c r="H400">
        <f t="shared" ca="1" si="27"/>
        <v>420</v>
      </c>
      <c r="I400" t="s">
        <v>213</v>
      </c>
      <c r="J400" t="str">
        <f ca="1">VLOOKUP(B400,Customer_Data!$A:$D,4,FALSE)</f>
        <v>Regular</v>
      </c>
    </row>
    <row r="401" spans="1:10" x14ac:dyDescent="0.35">
      <c r="A401" t="s">
        <v>648</v>
      </c>
      <c r="B401" t="str">
        <f t="shared" ca="1" si="24"/>
        <v>CUST193</v>
      </c>
      <c r="C401" s="1">
        <f t="shared" ca="1" si="25"/>
        <v>46015</v>
      </c>
      <c r="D401" t="s">
        <v>1249</v>
      </c>
      <c r="E401" t="s">
        <v>1254</v>
      </c>
      <c r="F401">
        <f t="shared" ca="1" si="26"/>
        <v>6</v>
      </c>
      <c r="G401">
        <v>25</v>
      </c>
      <c r="H401">
        <f t="shared" ca="1" si="27"/>
        <v>150</v>
      </c>
      <c r="I401" t="s">
        <v>213</v>
      </c>
      <c r="J401" t="str">
        <f ca="1">VLOOKUP(B401,Customer_Data!$A:$D,4,FALSE)</f>
        <v>Silver</v>
      </c>
    </row>
    <row r="402" spans="1:10" x14ac:dyDescent="0.35">
      <c r="A402" t="s">
        <v>649</v>
      </c>
      <c r="B402" t="str">
        <f t="shared" ca="1" si="24"/>
        <v>CUST064</v>
      </c>
      <c r="C402" s="1">
        <f t="shared" ca="1" si="25"/>
        <v>45953</v>
      </c>
      <c r="D402" t="s">
        <v>1249</v>
      </c>
      <c r="E402" t="s">
        <v>1254</v>
      </c>
      <c r="F402">
        <f t="shared" ca="1" si="26"/>
        <v>8</v>
      </c>
      <c r="G402">
        <v>25</v>
      </c>
      <c r="H402">
        <f t="shared" ca="1" si="27"/>
        <v>200</v>
      </c>
      <c r="I402" t="s">
        <v>211</v>
      </c>
      <c r="J402" t="str">
        <f ca="1">VLOOKUP(B402,Customer_Data!$A:$D,4,FALSE)</f>
        <v>Regular</v>
      </c>
    </row>
    <row r="403" spans="1:10" x14ac:dyDescent="0.35">
      <c r="A403" t="s">
        <v>650</v>
      </c>
      <c r="B403" t="str">
        <f t="shared" ca="1" si="24"/>
        <v>CUST193</v>
      </c>
      <c r="C403" s="1">
        <f t="shared" ca="1" si="25"/>
        <v>45719</v>
      </c>
      <c r="D403" t="s">
        <v>1253</v>
      </c>
      <c r="E403" t="s">
        <v>1258</v>
      </c>
      <c r="F403">
        <f t="shared" ca="1" si="26"/>
        <v>4</v>
      </c>
      <c r="G403">
        <v>90</v>
      </c>
      <c r="H403">
        <f t="shared" ca="1" si="27"/>
        <v>360</v>
      </c>
      <c r="I403" t="s">
        <v>214</v>
      </c>
      <c r="J403" t="str">
        <f ca="1">VLOOKUP(B403,Customer_Data!$A:$D,4,FALSE)</f>
        <v>Silver</v>
      </c>
    </row>
    <row r="404" spans="1:10" x14ac:dyDescent="0.35">
      <c r="A404" t="s">
        <v>651</v>
      </c>
      <c r="B404" t="str">
        <f t="shared" ca="1" si="24"/>
        <v>CUST063</v>
      </c>
      <c r="C404" s="1">
        <f t="shared" ca="1" si="25"/>
        <v>45838</v>
      </c>
      <c r="D404" t="s">
        <v>1251</v>
      </c>
      <c r="E404" t="s">
        <v>1256</v>
      </c>
      <c r="F404">
        <f t="shared" ca="1" si="26"/>
        <v>6</v>
      </c>
      <c r="G404">
        <v>80</v>
      </c>
      <c r="H404">
        <f t="shared" ca="1" si="27"/>
        <v>480</v>
      </c>
      <c r="I404" t="s">
        <v>212</v>
      </c>
      <c r="J404" t="str">
        <f ca="1">VLOOKUP(B404,Customer_Data!$A:$D,4,FALSE)</f>
        <v>Regular</v>
      </c>
    </row>
    <row r="405" spans="1:10" x14ac:dyDescent="0.35">
      <c r="A405" t="s">
        <v>652</v>
      </c>
      <c r="B405" t="str">
        <f t="shared" ca="1" si="24"/>
        <v>CUST082</v>
      </c>
      <c r="C405" s="1">
        <f t="shared" ca="1" si="25"/>
        <v>45791</v>
      </c>
      <c r="D405" t="s">
        <v>1253</v>
      </c>
      <c r="E405" t="s">
        <v>1258</v>
      </c>
      <c r="F405">
        <f t="shared" ca="1" si="26"/>
        <v>3</v>
      </c>
      <c r="G405">
        <v>90</v>
      </c>
      <c r="H405">
        <f t="shared" ca="1" si="27"/>
        <v>270</v>
      </c>
      <c r="I405" t="s">
        <v>211</v>
      </c>
      <c r="J405" t="str">
        <f ca="1">VLOOKUP(B405,Customer_Data!$A:$D,4,FALSE)</f>
        <v>Regular</v>
      </c>
    </row>
    <row r="406" spans="1:10" x14ac:dyDescent="0.35">
      <c r="A406" t="s">
        <v>653</v>
      </c>
      <c r="B406" t="str">
        <f t="shared" ca="1" si="24"/>
        <v>CUST089</v>
      </c>
      <c r="C406" s="1">
        <f t="shared" ca="1" si="25"/>
        <v>46009</v>
      </c>
      <c r="D406" t="s">
        <v>1249</v>
      </c>
      <c r="E406" t="s">
        <v>1254</v>
      </c>
      <c r="F406">
        <f t="shared" ca="1" si="26"/>
        <v>3</v>
      </c>
      <c r="G406">
        <v>25</v>
      </c>
      <c r="H406">
        <f t="shared" ca="1" si="27"/>
        <v>75</v>
      </c>
      <c r="I406" t="s">
        <v>214</v>
      </c>
      <c r="J406" t="str">
        <f ca="1">VLOOKUP(B406,Customer_Data!$A:$D,4,FALSE)</f>
        <v>Regular</v>
      </c>
    </row>
    <row r="407" spans="1:10" x14ac:dyDescent="0.35">
      <c r="A407" t="s">
        <v>654</v>
      </c>
      <c r="B407" t="str">
        <f t="shared" ca="1" si="24"/>
        <v>CUST048</v>
      </c>
      <c r="C407" s="1">
        <f t="shared" ca="1" si="25"/>
        <v>45934</v>
      </c>
      <c r="D407" t="s">
        <v>1252</v>
      </c>
      <c r="E407" t="s">
        <v>1257</v>
      </c>
      <c r="F407">
        <f t="shared" ca="1" si="26"/>
        <v>1</v>
      </c>
      <c r="G407">
        <v>120</v>
      </c>
      <c r="H407">
        <f t="shared" ca="1" si="27"/>
        <v>120</v>
      </c>
      <c r="I407" t="s">
        <v>212</v>
      </c>
      <c r="J407" t="str">
        <f ca="1">VLOOKUP(B407,Customer_Data!$A:$D,4,FALSE)</f>
        <v>Regular</v>
      </c>
    </row>
    <row r="408" spans="1:10" x14ac:dyDescent="0.35">
      <c r="A408" t="s">
        <v>655</v>
      </c>
      <c r="B408" t="str">
        <f t="shared" ca="1" si="24"/>
        <v>CUST184</v>
      </c>
      <c r="C408" s="1">
        <f t="shared" ca="1" si="25"/>
        <v>45744</v>
      </c>
      <c r="D408" t="s">
        <v>1253</v>
      </c>
      <c r="E408" t="s">
        <v>1258</v>
      </c>
      <c r="F408">
        <f t="shared" ca="1" si="26"/>
        <v>4</v>
      </c>
      <c r="G408">
        <v>90</v>
      </c>
      <c r="H408">
        <f t="shared" ca="1" si="27"/>
        <v>360</v>
      </c>
      <c r="I408" t="s">
        <v>214</v>
      </c>
      <c r="J408" t="str">
        <f ca="1">VLOOKUP(B408,Customer_Data!$A:$D,4,FALSE)</f>
        <v>Regular</v>
      </c>
    </row>
    <row r="409" spans="1:10" x14ac:dyDescent="0.35">
      <c r="A409" t="s">
        <v>656</v>
      </c>
      <c r="B409" t="str">
        <f t="shared" ca="1" si="24"/>
        <v>CUST144</v>
      </c>
      <c r="C409" s="1">
        <f t="shared" ca="1" si="25"/>
        <v>45719</v>
      </c>
      <c r="D409" t="s">
        <v>1251</v>
      </c>
      <c r="E409" t="s">
        <v>1256</v>
      </c>
      <c r="F409">
        <f t="shared" ca="1" si="26"/>
        <v>10</v>
      </c>
      <c r="G409">
        <v>80</v>
      </c>
      <c r="H409">
        <f t="shared" ca="1" si="27"/>
        <v>800</v>
      </c>
      <c r="I409" t="s">
        <v>213</v>
      </c>
      <c r="J409" t="str">
        <f ca="1">VLOOKUP(B409,Customer_Data!$A:$D,4,FALSE)</f>
        <v>Regular</v>
      </c>
    </row>
    <row r="410" spans="1:10" x14ac:dyDescent="0.35">
      <c r="A410" t="s">
        <v>657</v>
      </c>
      <c r="B410" t="str">
        <f t="shared" ca="1" si="24"/>
        <v>CUST165</v>
      </c>
      <c r="C410" s="1">
        <f t="shared" ca="1" si="25"/>
        <v>45776</v>
      </c>
      <c r="D410" t="s">
        <v>1252</v>
      </c>
      <c r="E410" t="s">
        <v>1257</v>
      </c>
      <c r="F410">
        <f t="shared" ca="1" si="26"/>
        <v>3</v>
      </c>
      <c r="G410">
        <v>120</v>
      </c>
      <c r="H410">
        <f t="shared" ca="1" si="27"/>
        <v>360</v>
      </c>
      <c r="I410" t="s">
        <v>212</v>
      </c>
      <c r="J410" t="str">
        <f ca="1">VLOOKUP(B410,Customer_Data!$A:$D,4,FALSE)</f>
        <v>Regular</v>
      </c>
    </row>
    <row r="411" spans="1:10" x14ac:dyDescent="0.35">
      <c r="A411" t="s">
        <v>658</v>
      </c>
      <c r="B411" t="str">
        <f t="shared" ca="1" si="24"/>
        <v>CUST059</v>
      </c>
      <c r="C411" s="1">
        <f t="shared" ca="1" si="25"/>
        <v>45682</v>
      </c>
      <c r="D411" t="s">
        <v>1253</v>
      </c>
      <c r="E411" t="s">
        <v>1258</v>
      </c>
      <c r="F411">
        <f t="shared" ca="1" si="26"/>
        <v>8</v>
      </c>
      <c r="G411">
        <v>90</v>
      </c>
      <c r="H411">
        <f t="shared" ca="1" si="27"/>
        <v>720</v>
      </c>
      <c r="I411" t="s">
        <v>212</v>
      </c>
      <c r="J411" t="str">
        <f ca="1">VLOOKUP(B411,Customer_Data!$A:$D,4,FALSE)</f>
        <v>Gold</v>
      </c>
    </row>
    <row r="412" spans="1:10" x14ac:dyDescent="0.35">
      <c r="A412" t="s">
        <v>659</v>
      </c>
      <c r="B412" t="str">
        <f t="shared" ca="1" si="24"/>
        <v>CUST059</v>
      </c>
      <c r="C412" s="1">
        <f t="shared" ca="1" si="25"/>
        <v>45700</v>
      </c>
      <c r="D412" t="s">
        <v>1253</v>
      </c>
      <c r="E412" t="s">
        <v>1258</v>
      </c>
      <c r="F412">
        <f t="shared" ca="1" si="26"/>
        <v>8</v>
      </c>
      <c r="G412">
        <v>90</v>
      </c>
      <c r="H412">
        <f t="shared" ca="1" si="27"/>
        <v>720</v>
      </c>
      <c r="I412" t="s">
        <v>214</v>
      </c>
      <c r="J412" t="str">
        <f ca="1">VLOOKUP(B412,Customer_Data!$A:$D,4,FALSE)</f>
        <v>Gold</v>
      </c>
    </row>
    <row r="413" spans="1:10" x14ac:dyDescent="0.35">
      <c r="A413" t="s">
        <v>660</v>
      </c>
      <c r="B413" t="str">
        <f t="shared" ca="1" si="24"/>
        <v>CUST165</v>
      </c>
      <c r="C413" s="1">
        <f t="shared" ca="1" si="25"/>
        <v>45811</v>
      </c>
      <c r="D413" t="s">
        <v>1252</v>
      </c>
      <c r="E413" t="s">
        <v>1257</v>
      </c>
      <c r="F413">
        <f t="shared" ca="1" si="26"/>
        <v>6</v>
      </c>
      <c r="G413">
        <v>120</v>
      </c>
      <c r="H413">
        <f t="shared" ca="1" si="27"/>
        <v>720</v>
      </c>
      <c r="I413" t="s">
        <v>213</v>
      </c>
      <c r="J413" t="str">
        <f ca="1">VLOOKUP(B413,Customer_Data!$A:$D,4,FALSE)</f>
        <v>Regular</v>
      </c>
    </row>
    <row r="414" spans="1:10" x14ac:dyDescent="0.35">
      <c r="A414" t="s">
        <v>661</v>
      </c>
      <c r="B414" t="str">
        <f t="shared" ca="1" si="24"/>
        <v>CUST113</v>
      </c>
      <c r="C414" s="1">
        <f t="shared" ca="1" si="25"/>
        <v>45742</v>
      </c>
      <c r="D414" t="s">
        <v>1252</v>
      </c>
      <c r="E414" t="s">
        <v>1257</v>
      </c>
      <c r="F414">
        <f t="shared" ca="1" si="26"/>
        <v>6</v>
      </c>
      <c r="G414">
        <v>120</v>
      </c>
      <c r="H414">
        <f t="shared" ca="1" si="27"/>
        <v>720</v>
      </c>
      <c r="I414" t="s">
        <v>212</v>
      </c>
      <c r="J414" t="str">
        <f ca="1">VLOOKUP(B414,Customer_Data!$A:$D,4,FALSE)</f>
        <v>Silver</v>
      </c>
    </row>
    <row r="415" spans="1:10" x14ac:dyDescent="0.35">
      <c r="A415" t="s">
        <v>662</v>
      </c>
      <c r="B415" t="str">
        <f t="shared" ca="1" si="24"/>
        <v>CUST032</v>
      </c>
      <c r="C415" s="1">
        <f t="shared" ca="1" si="25"/>
        <v>45795</v>
      </c>
      <c r="D415" t="s">
        <v>1250</v>
      </c>
      <c r="E415" t="s">
        <v>1255</v>
      </c>
      <c r="F415">
        <f t="shared" ca="1" si="26"/>
        <v>4</v>
      </c>
      <c r="G415">
        <v>60</v>
      </c>
      <c r="H415">
        <f t="shared" ca="1" si="27"/>
        <v>240</v>
      </c>
      <c r="I415" t="s">
        <v>213</v>
      </c>
      <c r="J415" t="str">
        <f ca="1">VLOOKUP(B415,Customer_Data!$A:$D,4,FALSE)</f>
        <v>Regular</v>
      </c>
    </row>
    <row r="416" spans="1:10" x14ac:dyDescent="0.35">
      <c r="A416" t="s">
        <v>663</v>
      </c>
      <c r="B416" t="str">
        <f t="shared" ca="1" si="24"/>
        <v>CUST141</v>
      </c>
      <c r="C416" s="1">
        <f t="shared" ca="1" si="25"/>
        <v>45703</v>
      </c>
      <c r="D416" t="s">
        <v>1253</v>
      </c>
      <c r="E416" t="s">
        <v>1258</v>
      </c>
      <c r="F416">
        <f t="shared" ca="1" si="26"/>
        <v>6</v>
      </c>
      <c r="G416">
        <v>90</v>
      </c>
      <c r="H416">
        <f t="shared" ca="1" si="27"/>
        <v>540</v>
      </c>
      <c r="I416" t="s">
        <v>213</v>
      </c>
      <c r="J416" t="str">
        <f ca="1">VLOOKUP(B416,Customer_Data!$A:$D,4,FALSE)</f>
        <v>Regular</v>
      </c>
    </row>
    <row r="417" spans="1:10" x14ac:dyDescent="0.35">
      <c r="A417" t="s">
        <v>664</v>
      </c>
      <c r="B417" t="str">
        <f t="shared" ca="1" si="24"/>
        <v>CUST175</v>
      </c>
      <c r="C417" s="1">
        <f t="shared" ca="1" si="25"/>
        <v>45830</v>
      </c>
      <c r="D417" t="s">
        <v>1251</v>
      </c>
      <c r="E417" t="s">
        <v>1256</v>
      </c>
      <c r="F417">
        <f t="shared" ca="1" si="26"/>
        <v>8</v>
      </c>
      <c r="G417">
        <v>80</v>
      </c>
      <c r="H417">
        <f t="shared" ca="1" si="27"/>
        <v>640</v>
      </c>
      <c r="I417" t="s">
        <v>212</v>
      </c>
      <c r="J417" t="str">
        <f ca="1">VLOOKUP(B417,Customer_Data!$A:$D,4,FALSE)</f>
        <v>Silver</v>
      </c>
    </row>
    <row r="418" spans="1:10" x14ac:dyDescent="0.35">
      <c r="A418" t="s">
        <v>665</v>
      </c>
      <c r="B418" t="str">
        <f t="shared" ca="1" si="24"/>
        <v>CUST169</v>
      </c>
      <c r="C418" s="1">
        <f t="shared" ca="1" si="25"/>
        <v>45937</v>
      </c>
      <c r="D418" t="s">
        <v>1253</v>
      </c>
      <c r="E418" t="s">
        <v>1258</v>
      </c>
      <c r="F418">
        <f t="shared" ca="1" si="26"/>
        <v>4</v>
      </c>
      <c r="G418">
        <v>90</v>
      </c>
      <c r="H418">
        <f t="shared" ca="1" si="27"/>
        <v>360</v>
      </c>
      <c r="I418" t="s">
        <v>214</v>
      </c>
      <c r="J418" t="str">
        <f ca="1">VLOOKUP(B418,Customer_Data!$A:$D,4,FALSE)</f>
        <v>Regular</v>
      </c>
    </row>
    <row r="419" spans="1:10" x14ac:dyDescent="0.35">
      <c r="A419" t="s">
        <v>666</v>
      </c>
      <c r="B419" t="str">
        <f t="shared" ca="1" si="24"/>
        <v>CUST040</v>
      </c>
      <c r="C419" s="1">
        <f t="shared" ca="1" si="25"/>
        <v>45892</v>
      </c>
      <c r="D419" t="s">
        <v>1251</v>
      </c>
      <c r="E419" t="s">
        <v>1256</v>
      </c>
      <c r="F419">
        <f t="shared" ca="1" si="26"/>
        <v>9</v>
      </c>
      <c r="G419">
        <v>80</v>
      </c>
      <c r="H419">
        <f t="shared" ca="1" si="27"/>
        <v>720</v>
      </c>
      <c r="I419" t="s">
        <v>214</v>
      </c>
      <c r="J419" t="str">
        <f ca="1">VLOOKUP(B419,Customer_Data!$A:$D,4,FALSE)</f>
        <v>Gold</v>
      </c>
    </row>
    <row r="420" spans="1:10" x14ac:dyDescent="0.35">
      <c r="A420" t="s">
        <v>667</v>
      </c>
      <c r="B420" t="str">
        <f t="shared" ca="1" si="24"/>
        <v>CUST093</v>
      </c>
      <c r="C420" s="1">
        <f t="shared" ca="1" si="25"/>
        <v>45716</v>
      </c>
      <c r="D420" t="s">
        <v>1250</v>
      </c>
      <c r="E420" t="s">
        <v>1255</v>
      </c>
      <c r="F420">
        <f t="shared" ca="1" si="26"/>
        <v>2</v>
      </c>
      <c r="G420">
        <v>60</v>
      </c>
      <c r="H420">
        <f t="shared" ca="1" si="27"/>
        <v>120</v>
      </c>
      <c r="I420" t="s">
        <v>214</v>
      </c>
      <c r="J420" t="str">
        <f ca="1">VLOOKUP(B420,Customer_Data!$A:$D,4,FALSE)</f>
        <v>Silver</v>
      </c>
    </row>
    <row r="421" spans="1:10" x14ac:dyDescent="0.35">
      <c r="A421" t="s">
        <v>668</v>
      </c>
      <c r="B421" t="str">
        <f t="shared" ca="1" si="24"/>
        <v>CUST021</v>
      </c>
      <c r="C421" s="1">
        <f t="shared" ca="1" si="25"/>
        <v>45905</v>
      </c>
      <c r="D421" t="s">
        <v>1250</v>
      </c>
      <c r="E421" t="s">
        <v>1255</v>
      </c>
      <c r="F421">
        <f t="shared" ca="1" si="26"/>
        <v>8</v>
      </c>
      <c r="G421">
        <v>60</v>
      </c>
      <c r="H421">
        <f t="shared" ca="1" si="27"/>
        <v>480</v>
      </c>
      <c r="I421" t="s">
        <v>212</v>
      </c>
      <c r="J421" t="str">
        <f ca="1">VLOOKUP(B421,Customer_Data!$A:$D,4,FALSE)</f>
        <v>Regular</v>
      </c>
    </row>
    <row r="422" spans="1:10" x14ac:dyDescent="0.35">
      <c r="A422" t="s">
        <v>669</v>
      </c>
      <c r="B422" t="str">
        <f t="shared" ca="1" si="24"/>
        <v>CUST076</v>
      </c>
      <c r="C422" s="1">
        <f t="shared" ca="1" si="25"/>
        <v>45830</v>
      </c>
      <c r="D422" t="s">
        <v>1252</v>
      </c>
      <c r="E422" t="s">
        <v>1257</v>
      </c>
      <c r="F422">
        <f t="shared" ca="1" si="26"/>
        <v>5</v>
      </c>
      <c r="G422">
        <v>120</v>
      </c>
      <c r="H422">
        <f t="shared" ca="1" si="27"/>
        <v>600</v>
      </c>
      <c r="I422" t="s">
        <v>214</v>
      </c>
      <c r="J422" t="str">
        <f ca="1">VLOOKUP(B422,Customer_Data!$A:$D,4,FALSE)</f>
        <v>Silver</v>
      </c>
    </row>
    <row r="423" spans="1:10" x14ac:dyDescent="0.35">
      <c r="A423" t="s">
        <v>670</v>
      </c>
      <c r="B423" t="str">
        <f t="shared" ca="1" si="24"/>
        <v>CUST010</v>
      </c>
      <c r="C423" s="1">
        <f t="shared" ca="1" si="25"/>
        <v>45738</v>
      </c>
      <c r="D423" t="s">
        <v>1252</v>
      </c>
      <c r="E423" t="s">
        <v>1257</v>
      </c>
      <c r="F423">
        <f t="shared" ca="1" si="26"/>
        <v>4</v>
      </c>
      <c r="G423">
        <v>120</v>
      </c>
      <c r="H423">
        <f t="shared" ca="1" si="27"/>
        <v>480</v>
      </c>
      <c r="I423" t="s">
        <v>213</v>
      </c>
      <c r="J423" t="str">
        <f ca="1">VLOOKUP(B423,Customer_Data!$A:$D,4,FALSE)</f>
        <v>Regular</v>
      </c>
    </row>
    <row r="424" spans="1:10" x14ac:dyDescent="0.35">
      <c r="A424" t="s">
        <v>671</v>
      </c>
      <c r="B424" t="str">
        <f t="shared" ca="1" si="24"/>
        <v>CUST158</v>
      </c>
      <c r="C424" s="1">
        <f t="shared" ca="1" si="25"/>
        <v>45865</v>
      </c>
      <c r="D424" t="s">
        <v>1251</v>
      </c>
      <c r="E424" t="s">
        <v>1256</v>
      </c>
      <c r="F424">
        <f t="shared" ca="1" si="26"/>
        <v>5</v>
      </c>
      <c r="G424">
        <v>80</v>
      </c>
      <c r="H424">
        <f t="shared" ca="1" si="27"/>
        <v>400</v>
      </c>
      <c r="I424" t="s">
        <v>213</v>
      </c>
      <c r="J424" t="str">
        <f ca="1">VLOOKUP(B424,Customer_Data!$A:$D,4,FALSE)</f>
        <v>Gold</v>
      </c>
    </row>
    <row r="425" spans="1:10" x14ac:dyDescent="0.35">
      <c r="A425" t="s">
        <v>672</v>
      </c>
      <c r="B425" t="str">
        <f t="shared" ca="1" si="24"/>
        <v>CUST019</v>
      </c>
      <c r="C425" s="1">
        <f t="shared" ca="1" si="25"/>
        <v>45698</v>
      </c>
      <c r="D425" t="s">
        <v>1251</v>
      </c>
      <c r="E425" t="s">
        <v>1256</v>
      </c>
      <c r="F425">
        <f t="shared" ca="1" si="26"/>
        <v>1</v>
      </c>
      <c r="G425">
        <v>80</v>
      </c>
      <c r="H425">
        <f t="shared" ca="1" si="27"/>
        <v>80</v>
      </c>
      <c r="I425" t="s">
        <v>212</v>
      </c>
      <c r="J425" t="str">
        <f ca="1">VLOOKUP(B425,Customer_Data!$A:$D,4,FALSE)</f>
        <v>Gold</v>
      </c>
    </row>
    <row r="426" spans="1:10" x14ac:dyDescent="0.35">
      <c r="A426" t="s">
        <v>673</v>
      </c>
      <c r="B426" t="str">
        <f t="shared" ca="1" si="24"/>
        <v>CUST118</v>
      </c>
      <c r="C426" s="1">
        <f t="shared" ca="1" si="25"/>
        <v>46018</v>
      </c>
      <c r="D426" t="s">
        <v>1249</v>
      </c>
      <c r="E426" t="s">
        <v>1254</v>
      </c>
      <c r="F426">
        <f t="shared" ca="1" si="26"/>
        <v>9</v>
      </c>
      <c r="G426">
        <v>25</v>
      </c>
      <c r="H426">
        <f t="shared" ca="1" si="27"/>
        <v>225</v>
      </c>
      <c r="I426" t="s">
        <v>211</v>
      </c>
      <c r="J426" t="str">
        <f ca="1">VLOOKUP(B426,Customer_Data!$A:$D,4,FALSE)</f>
        <v>Gold</v>
      </c>
    </row>
    <row r="427" spans="1:10" x14ac:dyDescent="0.35">
      <c r="A427" t="s">
        <v>674</v>
      </c>
      <c r="B427" t="str">
        <f t="shared" ca="1" si="24"/>
        <v>CUST096</v>
      </c>
      <c r="C427" s="1">
        <f t="shared" ca="1" si="25"/>
        <v>45988</v>
      </c>
      <c r="D427" t="s">
        <v>1251</v>
      </c>
      <c r="E427" t="s">
        <v>1256</v>
      </c>
      <c r="F427">
        <f t="shared" ca="1" si="26"/>
        <v>4</v>
      </c>
      <c r="G427">
        <v>80</v>
      </c>
      <c r="H427">
        <f t="shared" ca="1" si="27"/>
        <v>320</v>
      </c>
      <c r="I427" t="s">
        <v>211</v>
      </c>
      <c r="J427" t="str">
        <f ca="1">VLOOKUP(B427,Customer_Data!$A:$D,4,FALSE)</f>
        <v>Silver</v>
      </c>
    </row>
    <row r="428" spans="1:10" x14ac:dyDescent="0.35">
      <c r="A428" t="s">
        <v>675</v>
      </c>
      <c r="B428" t="str">
        <f t="shared" ca="1" si="24"/>
        <v>CUST136</v>
      </c>
      <c r="C428" s="1">
        <f t="shared" ca="1" si="25"/>
        <v>45797</v>
      </c>
      <c r="D428" t="s">
        <v>1249</v>
      </c>
      <c r="E428" t="s">
        <v>1254</v>
      </c>
      <c r="F428">
        <f t="shared" ca="1" si="26"/>
        <v>2</v>
      </c>
      <c r="G428">
        <v>25</v>
      </c>
      <c r="H428">
        <f t="shared" ca="1" si="27"/>
        <v>50</v>
      </c>
      <c r="I428" t="s">
        <v>214</v>
      </c>
      <c r="J428" t="str">
        <f ca="1">VLOOKUP(B428,Customer_Data!$A:$D,4,FALSE)</f>
        <v>Silver</v>
      </c>
    </row>
    <row r="429" spans="1:10" x14ac:dyDescent="0.35">
      <c r="A429" t="s">
        <v>676</v>
      </c>
      <c r="B429" t="str">
        <f t="shared" ca="1" si="24"/>
        <v>CUST095</v>
      </c>
      <c r="C429" s="1">
        <f t="shared" ca="1" si="25"/>
        <v>45938</v>
      </c>
      <c r="D429" t="s">
        <v>1250</v>
      </c>
      <c r="E429" t="s">
        <v>1255</v>
      </c>
      <c r="F429">
        <f t="shared" ca="1" si="26"/>
        <v>6</v>
      </c>
      <c r="G429">
        <v>60</v>
      </c>
      <c r="H429">
        <f t="shared" ca="1" si="27"/>
        <v>360</v>
      </c>
      <c r="I429" t="s">
        <v>214</v>
      </c>
      <c r="J429" t="str">
        <f ca="1">VLOOKUP(B429,Customer_Data!$A:$D,4,FALSE)</f>
        <v>Silver</v>
      </c>
    </row>
    <row r="430" spans="1:10" x14ac:dyDescent="0.35">
      <c r="A430" t="s">
        <v>677</v>
      </c>
      <c r="B430" t="str">
        <f t="shared" ca="1" si="24"/>
        <v>CUST081</v>
      </c>
      <c r="C430" s="1">
        <f t="shared" ca="1" si="25"/>
        <v>45869</v>
      </c>
      <c r="D430" t="s">
        <v>1252</v>
      </c>
      <c r="E430" t="s">
        <v>1257</v>
      </c>
      <c r="F430">
        <f t="shared" ca="1" si="26"/>
        <v>8</v>
      </c>
      <c r="G430">
        <v>120</v>
      </c>
      <c r="H430">
        <f t="shared" ca="1" si="27"/>
        <v>960</v>
      </c>
      <c r="I430" t="s">
        <v>214</v>
      </c>
      <c r="J430" t="str">
        <f ca="1">VLOOKUP(B430,Customer_Data!$A:$D,4,FALSE)</f>
        <v>Regular</v>
      </c>
    </row>
    <row r="431" spans="1:10" x14ac:dyDescent="0.35">
      <c r="A431" t="s">
        <v>678</v>
      </c>
      <c r="B431" t="str">
        <f t="shared" ca="1" si="24"/>
        <v>CUST072</v>
      </c>
      <c r="C431" s="1">
        <f t="shared" ca="1" si="25"/>
        <v>45768</v>
      </c>
      <c r="D431" t="s">
        <v>1249</v>
      </c>
      <c r="E431" t="s">
        <v>1254</v>
      </c>
      <c r="F431">
        <f t="shared" ca="1" si="26"/>
        <v>7</v>
      </c>
      <c r="G431">
        <v>25</v>
      </c>
      <c r="H431">
        <f t="shared" ca="1" si="27"/>
        <v>175</v>
      </c>
      <c r="I431" t="s">
        <v>214</v>
      </c>
      <c r="J431" t="str">
        <f ca="1">VLOOKUP(B431,Customer_Data!$A:$D,4,FALSE)</f>
        <v>Regular</v>
      </c>
    </row>
    <row r="432" spans="1:10" x14ac:dyDescent="0.35">
      <c r="A432" t="s">
        <v>679</v>
      </c>
      <c r="B432" t="str">
        <f t="shared" ca="1" si="24"/>
        <v>CUST185</v>
      </c>
      <c r="C432" s="1">
        <f t="shared" ca="1" si="25"/>
        <v>46010</v>
      </c>
      <c r="D432" t="s">
        <v>1252</v>
      </c>
      <c r="E432" t="s">
        <v>1257</v>
      </c>
      <c r="F432">
        <f t="shared" ca="1" si="26"/>
        <v>8</v>
      </c>
      <c r="G432">
        <v>120</v>
      </c>
      <c r="H432">
        <f t="shared" ca="1" si="27"/>
        <v>960</v>
      </c>
      <c r="I432" t="s">
        <v>212</v>
      </c>
      <c r="J432" t="str">
        <f ca="1">VLOOKUP(B432,Customer_Data!$A:$D,4,FALSE)</f>
        <v>Regular</v>
      </c>
    </row>
    <row r="433" spans="1:10" x14ac:dyDescent="0.35">
      <c r="A433" t="s">
        <v>680</v>
      </c>
      <c r="B433" t="str">
        <f t="shared" ca="1" si="24"/>
        <v>CUST009</v>
      </c>
      <c r="C433" s="1">
        <f t="shared" ca="1" si="25"/>
        <v>45715</v>
      </c>
      <c r="D433" t="s">
        <v>1251</v>
      </c>
      <c r="E433" t="s">
        <v>1256</v>
      </c>
      <c r="F433">
        <f t="shared" ca="1" si="26"/>
        <v>7</v>
      </c>
      <c r="G433">
        <v>80</v>
      </c>
      <c r="H433">
        <f t="shared" ca="1" si="27"/>
        <v>560</v>
      </c>
      <c r="I433" t="s">
        <v>212</v>
      </c>
      <c r="J433" t="str">
        <f ca="1">VLOOKUP(B433,Customer_Data!$A:$D,4,FALSE)</f>
        <v>Regular</v>
      </c>
    </row>
    <row r="434" spans="1:10" x14ac:dyDescent="0.35">
      <c r="A434" t="s">
        <v>681</v>
      </c>
      <c r="B434" t="str">
        <f t="shared" ca="1" si="24"/>
        <v>CUST165</v>
      </c>
      <c r="C434" s="1">
        <f t="shared" ca="1" si="25"/>
        <v>45758</v>
      </c>
      <c r="D434" t="s">
        <v>1253</v>
      </c>
      <c r="E434" t="s">
        <v>1258</v>
      </c>
      <c r="F434">
        <f t="shared" ca="1" si="26"/>
        <v>5</v>
      </c>
      <c r="G434">
        <v>90</v>
      </c>
      <c r="H434">
        <f t="shared" ca="1" si="27"/>
        <v>450</v>
      </c>
      <c r="I434" t="s">
        <v>213</v>
      </c>
      <c r="J434" t="str">
        <f ca="1">VLOOKUP(B434,Customer_Data!$A:$D,4,FALSE)</f>
        <v>Regular</v>
      </c>
    </row>
    <row r="435" spans="1:10" x14ac:dyDescent="0.35">
      <c r="A435" t="s">
        <v>682</v>
      </c>
      <c r="B435" t="str">
        <f t="shared" ca="1" si="24"/>
        <v>CUST099</v>
      </c>
      <c r="C435" s="1">
        <f t="shared" ca="1" si="25"/>
        <v>45991</v>
      </c>
      <c r="D435" t="s">
        <v>1250</v>
      </c>
      <c r="E435" t="s">
        <v>1255</v>
      </c>
      <c r="F435">
        <f t="shared" ca="1" si="26"/>
        <v>2</v>
      </c>
      <c r="G435">
        <v>60</v>
      </c>
      <c r="H435">
        <f t="shared" ca="1" si="27"/>
        <v>120</v>
      </c>
      <c r="I435" t="s">
        <v>213</v>
      </c>
      <c r="J435" t="str">
        <f ca="1">VLOOKUP(B435,Customer_Data!$A:$D,4,FALSE)</f>
        <v>Gold</v>
      </c>
    </row>
    <row r="436" spans="1:10" x14ac:dyDescent="0.35">
      <c r="A436" t="s">
        <v>683</v>
      </c>
      <c r="B436" t="str">
        <f t="shared" ca="1" si="24"/>
        <v>CUST190</v>
      </c>
      <c r="C436" s="1">
        <f t="shared" ca="1" si="25"/>
        <v>45837</v>
      </c>
      <c r="D436" t="s">
        <v>1249</v>
      </c>
      <c r="E436" t="s">
        <v>1254</v>
      </c>
      <c r="F436">
        <f t="shared" ca="1" si="26"/>
        <v>5</v>
      </c>
      <c r="G436">
        <v>25</v>
      </c>
      <c r="H436">
        <f t="shared" ca="1" si="27"/>
        <v>125</v>
      </c>
      <c r="I436" t="s">
        <v>214</v>
      </c>
      <c r="J436" t="str">
        <f ca="1">VLOOKUP(B436,Customer_Data!$A:$D,4,FALSE)</f>
        <v>Regular</v>
      </c>
    </row>
    <row r="437" spans="1:10" x14ac:dyDescent="0.35">
      <c r="A437" t="s">
        <v>684</v>
      </c>
      <c r="B437" t="str">
        <f t="shared" ca="1" si="24"/>
        <v>CUST091</v>
      </c>
      <c r="C437" s="1">
        <f t="shared" ca="1" si="25"/>
        <v>45810</v>
      </c>
      <c r="D437" t="s">
        <v>1252</v>
      </c>
      <c r="E437" t="s">
        <v>1257</v>
      </c>
      <c r="F437">
        <f t="shared" ca="1" si="26"/>
        <v>10</v>
      </c>
      <c r="G437">
        <v>120</v>
      </c>
      <c r="H437">
        <f t="shared" ca="1" si="27"/>
        <v>1200</v>
      </c>
      <c r="I437" t="s">
        <v>211</v>
      </c>
      <c r="J437" t="str">
        <f ca="1">VLOOKUP(B437,Customer_Data!$A:$D,4,FALSE)</f>
        <v>Regular</v>
      </c>
    </row>
    <row r="438" spans="1:10" x14ac:dyDescent="0.35">
      <c r="A438" t="s">
        <v>685</v>
      </c>
      <c r="B438" t="str">
        <f t="shared" ca="1" si="24"/>
        <v>CUST033</v>
      </c>
      <c r="C438" s="1">
        <f t="shared" ca="1" si="25"/>
        <v>45895</v>
      </c>
      <c r="D438" t="s">
        <v>1251</v>
      </c>
      <c r="E438" t="s">
        <v>1256</v>
      </c>
      <c r="F438">
        <f t="shared" ca="1" si="26"/>
        <v>10</v>
      </c>
      <c r="G438">
        <v>80</v>
      </c>
      <c r="H438">
        <f t="shared" ca="1" si="27"/>
        <v>800</v>
      </c>
      <c r="I438" t="s">
        <v>214</v>
      </c>
      <c r="J438" t="str">
        <f ca="1">VLOOKUP(B438,Customer_Data!$A:$D,4,FALSE)</f>
        <v>Silver</v>
      </c>
    </row>
    <row r="439" spans="1:10" x14ac:dyDescent="0.35">
      <c r="A439" t="s">
        <v>686</v>
      </c>
      <c r="B439" t="str">
        <f t="shared" ca="1" si="24"/>
        <v>CUST025</v>
      </c>
      <c r="C439" s="1">
        <f t="shared" ca="1" si="25"/>
        <v>45733</v>
      </c>
      <c r="D439" t="s">
        <v>1253</v>
      </c>
      <c r="E439" t="s">
        <v>1258</v>
      </c>
      <c r="F439">
        <f t="shared" ca="1" si="26"/>
        <v>4</v>
      </c>
      <c r="G439">
        <v>90</v>
      </c>
      <c r="H439">
        <f t="shared" ca="1" si="27"/>
        <v>360</v>
      </c>
      <c r="I439" t="s">
        <v>213</v>
      </c>
      <c r="J439" t="str">
        <f ca="1">VLOOKUP(B439,Customer_Data!$A:$D,4,FALSE)</f>
        <v>Regular</v>
      </c>
    </row>
    <row r="440" spans="1:10" x14ac:dyDescent="0.35">
      <c r="A440" t="s">
        <v>687</v>
      </c>
      <c r="B440" t="str">
        <f t="shared" ca="1" si="24"/>
        <v>CUST098</v>
      </c>
      <c r="C440" s="1">
        <f t="shared" ca="1" si="25"/>
        <v>45781</v>
      </c>
      <c r="D440" t="s">
        <v>1251</v>
      </c>
      <c r="E440" t="s">
        <v>1256</v>
      </c>
      <c r="F440">
        <f t="shared" ca="1" si="26"/>
        <v>6</v>
      </c>
      <c r="G440">
        <v>80</v>
      </c>
      <c r="H440">
        <f t="shared" ca="1" si="27"/>
        <v>480</v>
      </c>
      <c r="I440" t="s">
        <v>213</v>
      </c>
      <c r="J440" t="str">
        <f ca="1">VLOOKUP(B440,Customer_Data!$A:$D,4,FALSE)</f>
        <v>Gold</v>
      </c>
    </row>
    <row r="441" spans="1:10" x14ac:dyDescent="0.35">
      <c r="A441" t="s">
        <v>688</v>
      </c>
      <c r="B441" t="str">
        <f t="shared" ca="1" si="24"/>
        <v>CUST099</v>
      </c>
      <c r="C441" s="1">
        <f t="shared" ca="1" si="25"/>
        <v>45841</v>
      </c>
      <c r="D441" t="s">
        <v>1252</v>
      </c>
      <c r="E441" t="s">
        <v>1257</v>
      </c>
      <c r="F441">
        <f t="shared" ca="1" si="26"/>
        <v>10</v>
      </c>
      <c r="G441">
        <v>120</v>
      </c>
      <c r="H441">
        <f t="shared" ca="1" si="27"/>
        <v>1200</v>
      </c>
      <c r="I441" t="s">
        <v>211</v>
      </c>
      <c r="J441" t="str">
        <f ca="1">VLOOKUP(B441,Customer_Data!$A:$D,4,FALSE)</f>
        <v>Gold</v>
      </c>
    </row>
    <row r="442" spans="1:10" x14ac:dyDescent="0.35">
      <c r="A442" t="s">
        <v>689</v>
      </c>
      <c r="B442" t="str">
        <f t="shared" ca="1" si="24"/>
        <v>CUST009</v>
      </c>
      <c r="C442" s="1">
        <f t="shared" ca="1" si="25"/>
        <v>45804</v>
      </c>
      <c r="D442" t="s">
        <v>1250</v>
      </c>
      <c r="E442" t="s">
        <v>1255</v>
      </c>
      <c r="F442">
        <f t="shared" ca="1" si="26"/>
        <v>3</v>
      </c>
      <c r="G442">
        <v>60</v>
      </c>
      <c r="H442">
        <f t="shared" ca="1" si="27"/>
        <v>180</v>
      </c>
      <c r="I442" t="s">
        <v>211</v>
      </c>
      <c r="J442" t="str">
        <f ca="1">VLOOKUP(B442,Customer_Data!$A:$D,4,FALSE)</f>
        <v>Regular</v>
      </c>
    </row>
    <row r="443" spans="1:10" x14ac:dyDescent="0.35">
      <c r="A443" t="s">
        <v>690</v>
      </c>
      <c r="B443" t="str">
        <f t="shared" ca="1" si="24"/>
        <v>CUST010</v>
      </c>
      <c r="C443" s="1">
        <f t="shared" ca="1" si="25"/>
        <v>45783</v>
      </c>
      <c r="D443" t="s">
        <v>1252</v>
      </c>
      <c r="E443" t="s">
        <v>1257</v>
      </c>
      <c r="F443">
        <f t="shared" ca="1" si="26"/>
        <v>2</v>
      </c>
      <c r="G443">
        <v>120</v>
      </c>
      <c r="H443">
        <f t="shared" ca="1" si="27"/>
        <v>240</v>
      </c>
      <c r="I443" t="s">
        <v>212</v>
      </c>
      <c r="J443" t="str">
        <f ca="1">VLOOKUP(B443,Customer_Data!$A:$D,4,FALSE)</f>
        <v>Regular</v>
      </c>
    </row>
    <row r="444" spans="1:10" x14ac:dyDescent="0.35">
      <c r="A444" t="s">
        <v>691</v>
      </c>
      <c r="B444" t="str">
        <f t="shared" ca="1" si="24"/>
        <v>CUST181</v>
      </c>
      <c r="C444" s="1">
        <f t="shared" ca="1" si="25"/>
        <v>45776</v>
      </c>
      <c r="D444" t="s">
        <v>1249</v>
      </c>
      <c r="E444" t="s">
        <v>1254</v>
      </c>
      <c r="F444">
        <f t="shared" ca="1" si="26"/>
        <v>5</v>
      </c>
      <c r="G444">
        <v>25</v>
      </c>
      <c r="H444">
        <f t="shared" ca="1" si="27"/>
        <v>125</v>
      </c>
      <c r="I444" t="s">
        <v>212</v>
      </c>
      <c r="J444" t="str">
        <f ca="1">VLOOKUP(B444,Customer_Data!$A:$D,4,FALSE)</f>
        <v>Regular</v>
      </c>
    </row>
    <row r="445" spans="1:10" x14ac:dyDescent="0.35">
      <c r="A445" t="s">
        <v>692</v>
      </c>
      <c r="B445" t="str">
        <f t="shared" ca="1" si="24"/>
        <v>CUST112</v>
      </c>
      <c r="C445" s="1">
        <f t="shared" ca="1" si="25"/>
        <v>45834</v>
      </c>
      <c r="D445" t="s">
        <v>1251</v>
      </c>
      <c r="E445" t="s">
        <v>1256</v>
      </c>
      <c r="F445">
        <f t="shared" ca="1" si="26"/>
        <v>3</v>
      </c>
      <c r="G445">
        <v>80</v>
      </c>
      <c r="H445">
        <f t="shared" ca="1" si="27"/>
        <v>240</v>
      </c>
      <c r="I445" t="s">
        <v>212</v>
      </c>
      <c r="J445" t="str">
        <f ca="1">VLOOKUP(B445,Customer_Data!$A:$D,4,FALSE)</f>
        <v>Regular</v>
      </c>
    </row>
    <row r="446" spans="1:10" x14ac:dyDescent="0.35">
      <c r="A446" t="s">
        <v>693</v>
      </c>
      <c r="B446" t="str">
        <f t="shared" ca="1" si="24"/>
        <v>CUST089</v>
      </c>
      <c r="C446" s="1">
        <f t="shared" ca="1" si="25"/>
        <v>45662</v>
      </c>
      <c r="D446" t="s">
        <v>1249</v>
      </c>
      <c r="E446" t="s">
        <v>1254</v>
      </c>
      <c r="F446">
        <f t="shared" ca="1" si="26"/>
        <v>8</v>
      </c>
      <c r="G446">
        <v>25</v>
      </c>
      <c r="H446">
        <f t="shared" ca="1" si="27"/>
        <v>200</v>
      </c>
      <c r="I446" t="s">
        <v>214</v>
      </c>
      <c r="J446" t="str">
        <f ca="1">VLOOKUP(B446,Customer_Data!$A:$D,4,FALSE)</f>
        <v>Regular</v>
      </c>
    </row>
    <row r="447" spans="1:10" x14ac:dyDescent="0.35">
      <c r="A447" t="s">
        <v>694</v>
      </c>
      <c r="B447" t="str">
        <f t="shared" ca="1" si="24"/>
        <v>CUST188</v>
      </c>
      <c r="C447" s="1">
        <f t="shared" ca="1" si="25"/>
        <v>45974</v>
      </c>
      <c r="D447" t="s">
        <v>1249</v>
      </c>
      <c r="E447" t="s">
        <v>1254</v>
      </c>
      <c r="F447">
        <f t="shared" ca="1" si="26"/>
        <v>8</v>
      </c>
      <c r="G447">
        <v>25</v>
      </c>
      <c r="H447">
        <f t="shared" ca="1" si="27"/>
        <v>200</v>
      </c>
      <c r="I447" t="s">
        <v>211</v>
      </c>
      <c r="J447" t="str">
        <f ca="1">VLOOKUP(B447,Customer_Data!$A:$D,4,FALSE)</f>
        <v>Regular</v>
      </c>
    </row>
    <row r="448" spans="1:10" x14ac:dyDescent="0.35">
      <c r="A448" t="s">
        <v>695</v>
      </c>
      <c r="B448" t="str">
        <f t="shared" ca="1" si="24"/>
        <v>CUST098</v>
      </c>
      <c r="C448" s="1">
        <f t="shared" ca="1" si="25"/>
        <v>45916</v>
      </c>
      <c r="D448" t="s">
        <v>1250</v>
      </c>
      <c r="E448" t="s">
        <v>1255</v>
      </c>
      <c r="F448">
        <f t="shared" ca="1" si="26"/>
        <v>8</v>
      </c>
      <c r="G448">
        <v>60</v>
      </c>
      <c r="H448">
        <f t="shared" ca="1" si="27"/>
        <v>480</v>
      </c>
      <c r="I448" t="s">
        <v>214</v>
      </c>
      <c r="J448" t="str">
        <f ca="1">VLOOKUP(B448,Customer_Data!$A:$D,4,FALSE)</f>
        <v>Gold</v>
      </c>
    </row>
    <row r="449" spans="1:10" x14ac:dyDescent="0.35">
      <c r="A449" t="s">
        <v>696</v>
      </c>
      <c r="B449" t="str">
        <f t="shared" ca="1" si="24"/>
        <v>CUST106</v>
      </c>
      <c r="C449" s="1">
        <f t="shared" ca="1" si="25"/>
        <v>45784</v>
      </c>
      <c r="D449" t="s">
        <v>1252</v>
      </c>
      <c r="E449" t="s">
        <v>1257</v>
      </c>
      <c r="F449">
        <f t="shared" ca="1" si="26"/>
        <v>9</v>
      </c>
      <c r="G449">
        <v>120</v>
      </c>
      <c r="H449">
        <f t="shared" ca="1" si="27"/>
        <v>1080</v>
      </c>
      <c r="I449" t="s">
        <v>214</v>
      </c>
      <c r="J449" t="str">
        <f ca="1">VLOOKUP(B449,Customer_Data!$A:$D,4,FALSE)</f>
        <v>Regular</v>
      </c>
    </row>
    <row r="450" spans="1:10" x14ac:dyDescent="0.35">
      <c r="A450" t="s">
        <v>697</v>
      </c>
      <c r="B450" t="str">
        <f t="shared" ca="1" si="24"/>
        <v>CUST175</v>
      </c>
      <c r="C450" s="1">
        <f t="shared" ca="1" si="25"/>
        <v>45840</v>
      </c>
      <c r="D450" t="s">
        <v>1251</v>
      </c>
      <c r="E450" t="s">
        <v>1256</v>
      </c>
      <c r="F450">
        <f t="shared" ca="1" si="26"/>
        <v>3</v>
      </c>
      <c r="G450">
        <v>80</v>
      </c>
      <c r="H450">
        <f t="shared" ca="1" si="27"/>
        <v>240</v>
      </c>
      <c r="I450" t="s">
        <v>214</v>
      </c>
      <c r="J450" t="str">
        <f ca="1">VLOOKUP(B450,Customer_Data!$A:$D,4,FALSE)</f>
        <v>Silver</v>
      </c>
    </row>
    <row r="451" spans="1:10" x14ac:dyDescent="0.35">
      <c r="A451" t="s">
        <v>698</v>
      </c>
      <c r="B451" t="str">
        <f t="shared" ref="B451:B514" ca="1" si="28">"CUST"&amp;TEXT(RANDBETWEEN(1,200),"000")</f>
        <v>CUST107</v>
      </c>
      <c r="C451" s="1">
        <f t="shared" ref="C451:C514" ca="1" si="29">DATE(2025,1,1)+RANDBETWEEN(0,364)</f>
        <v>45764</v>
      </c>
      <c r="D451" t="s">
        <v>1249</v>
      </c>
      <c r="E451" t="s">
        <v>1254</v>
      </c>
      <c r="F451">
        <f t="shared" ref="F451:F514" ca="1" si="30">RANDBETWEEN(1,10)</f>
        <v>6</v>
      </c>
      <c r="G451">
        <v>25</v>
      </c>
      <c r="H451">
        <f t="shared" ref="H451:H514" ca="1" si="31">F451*G451</f>
        <v>150</v>
      </c>
      <c r="I451" t="s">
        <v>211</v>
      </c>
      <c r="J451" t="str">
        <f ca="1">VLOOKUP(B451,Customer_Data!$A:$D,4,FALSE)</f>
        <v>Regular</v>
      </c>
    </row>
    <row r="452" spans="1:10" x14ac:dyDescent="0.35">
      <c r="A452" t="s">
        <v>699</v>
      </c>
      <c r="B452" t="str">
        <f t="shared" ca="1" si="28"/>
        <v>CUST112</v>
      </c>
      <c r="C452" s="1">
        <f t="shared" ca="1" si="29"/>
        <v>45953</v>
      </c>
      <c r="D452" t="s">
        <v>1251</v>
      </c>
      <c r="E452" t="s">
        <v>1256</v>
      </c>
      <c r="F452">
        <f t="shared" ca="1" si="30"/>
        <v>7</v>
      </c>
      <c r="G452">
        <v>80</v>
      </c>
      <c r="H452">
        <f t="shared" ca="1" si="31"/>
        <v>560</v>
      </c>
      <c r="I452" t="s">
        <v>212</v>
      </c>
      <c r="J452" t="str">
        <f ca="1">VLOOKUP(B452,Customer_Data!$A:$D,4,FALSE)</f>
        <v>Regular</v>
      </c>
    </row>
    <row r="453" spans="1:10" x14ac:dyDescent="0.35">
      <c r="A453" t="s">
        <v>700</v>
      </c>
      <c r="B453" t="str">
        <f t="shared" ca="1" si="28"/>
        <v>CUST113</v>
      </c>
      <c r="C453" s="1">
        <f t="shared" ca="1" si="29"/>
        <v>46021</v>
      </c>
      <c r="D453" t="s">
        <v>1253</v>
      </c>
      <c r="E453" t="s">
        <v>1258</v>
      </c>
      <c r="F453">
        <f t="shared" ca="1" si="30"/>
        <v>4</v>
      </c>
      <c r="G453">
        <v>90</v>
      </c>
      <c r="H453">
        <f t="shared" ca="1" si="31"/>
        <v>360</v>
      </c>
      <c r="I453" t="s">
        <v>214</v>
      </c>
      <c r="J453" t="str">
        <f ca="1">VLOOKUP(B453,Customer_Data!$A:$D,4,FALSE)</f>
        <v>Silver</v>
      </c>
    </row>
    <row r="454" spans="1:10" x14ac:dyDescent="0.35">
      <c r="A454" t="s">
        <v>701</v>
      </c>
      <c r="B454" t="str">
        <f t="shared" ca="1" si="28"/>
        <v>CUST026</v>
      </c>
      <c r="C454" s="1">
        <f t="shared" ca="1" si="29"/>
        <v>45779</v>
      </c>
      <c r="D454" t="s">
        <v>1253</v>
      </c>
      <c r="E454" t="s">
        <v>1258</v>
      </c>
      <c r="F454">
        <f t="shared" ca="1" si="30"/>
        <v>8</v>
      </c>
      <c r="G454">
        <v>90</v>
      </c>
      <c r="H454">
        <f t="shared" ca="1" si="31"/>
        <v>720</v>
      </c>
      <c r="I454" t="s">
        <v>211</v>
      </c>
      <c r="J454" t="str">
        <f ca="1">VLOOKUP(B454,Customer_Data!$A:$D,4,FALSE)</f>
        <v>Regular</v>
      </c>
    </row>
    <row r="455" spans="1:10" x14ac:dyDescent="0.35">
      <c r="A455" t="s">
        <v>702</v>
      </c>
      <c r="B455" t="str">
        <f t="shared" ca="1" si="28"/>
        <v>CUST143</v>
      </c>
      <c r="C455" s="1">
        <f t="shared" ca="1" si="29"/>
        <v>45904</v>
      </c>
      <c r="D455" t="s">
        <v>1250</v>
      </c>
      <c r="E455" t="s">
        <v>1255</v>
      </c>
      <c r="F455">
        <f t="shared" ca="1" si="30"/>
        <v>9</v>
      </c>
      <c r="G455">
        <v>60</v>
      </c>
      <c r="H455">
        <f t="shared" ca="1" si="31"/>
        <v>540</v>
      </c>
      <c r="I455" t="s">
        <v>212</v>
      </c>
      <c r="J455" t="str">
        <f ca="1">VLOOKUP(B455,Customer_Data!$A:$D,4,FALSE)</f>
        <v>Regular</v>
      </c>
    </row>
    <row r="456" spans="1:10" x14ac:dyDescent="0.35">
      <c r="A456" t="s">
        <v>703</v>
      </c>
      <c r="B456" t="str">
        <f t="shared" ca="1" si="28"/>
        <v>CUST104</v>
      </c>
      <c r="C456" s="1">
        <f t="shared" ca="1" si="29"/>
        <v>45999</v>
      </c>
      <c r="D456" t="s">
        <v>1253</v>
      </c>
      <c r="E456" t="s">
        <v>1258</v>
      </c>
      <c r="F456">
        <f t="shared" ca="1" si="30"/>
        <v>10</v>
      </c>
      <c r="G456">
        <v>90</v>
      </c>
      <c r="H456">
        <f t="shared" ca="1" si="31"/>
        <v>900</v>
      </c>
      <c r="I456" t="s">
        <v>211</v>
      </c>
      <c r="J456" t="str">
        <f ca="1">VLOOKUP(B456,Customer_Data!$A:$D,4,FALSE)</f>
        <v>Regular</v>
      </c>
    </row>
    <row r="457" spans="1:10" x14ac:dyDescent="0.35">
      <c r="A457" t="s">
        <v>704</v>
      </c>
      <c r="B457" t="str">
        <f t="shared" ca="1" si="28"/>
        <v>CUST130</v>
      </c>
      <c r="C457" s="1">
        <f t="shared" ca="1" si="29"/>
        <v>45808</v>
      </c>
      <c r="D457" t="s">
        <v>1252</v>
      </c>
      <c r="E457" t="s">
        <v>1257</v>
      </c>
      <c r="F457">
        <f t="shared" ca="1" si="30"/>
        <v>9</v>
      </c>
      <c r="G457">
        <v>120</v>
      </c>
      <c r="H457">
        <f t="shared" ca="1" si="31"/>
        <v>1080</v>
      </c>
      <c r="I457" t="s">
        <v>212</v>
      </c>
      <c r="J457" t="str">
        <f ca="1">VLOOKUP(B457,Customer_Data!$A:$D,4,FALSE)</f>
        <v>Regular</v>
      </c>
    </row>
    <row r="458" spans="1:10" x14ac:dyDescent="0.35">
      <c r="A458" t="s">
        <v>705</v>
      </c>
      <c r="B458" t="str">
        <f t="shared" ca="1" si="28"/>
        <v>CUST133</v>
      </c>
      <c r="C458" s="1">
        <f t="shared" ca="1" si="29"/>
        <v>45901</v>
      </c>
      <c r="D458" t="s">
        <v>1251</v>
      </c>
      <c r="E458" t="s">
        <v>1256</v>
      </c>
      <c r="F458">
        <f t="shared" ca="1" si="30"/>
        <v>7</v>
      </c>
      <c r="G458">
        <v>80</v>
      </c>
      <c r="H458">
        <f t="shared" ca="1" si="31"/>
        <v>560</v>
      </c>
      <c r="I458" t="s">
        <v>214</v>
      </c>
      <c r="J458" t="str">
        <f ca="1">VLOOKUP(B458,Customer_Data!$A:$D,4,FALSE)</f>
        <v>Silver</v>
      </c>
    </row>
    <row r="459" spans="1:10" x14ac:dyDescent="0.35">
      <c r="A459" t="s">
        <v>706</v>
      </c>
      <c r="B459" t="str">
        <f t="shared" ca="1" si="28"/>
        <v>CUST096</v>
      </c>
      <c r="C459" s="1">
        <f t="shared" ca="1" si="29"/>
        <v>45749</v>
      </c>
      <c r="D459" t="s">
        <v>1249</v>
      </c>
      <c r="E459" t="s">
        <v>1254</v>
      </c>
      <c r="F459">
        <f t="shared" ca="1" si="30"/>
        <v>4</v>
      </c>
      <c r="G459">
        <v>25</v>
      </c>
      <c r="H459">
        <f t="shared" ca="1" si="31"/>
        <v>100</v>
      </c>
      <c r="I459" t="s">
        <v>213</v>
      </c>
      <c r="J459" t="str">
        <f ca="1">VLOOKUP(B459,Customer_Data!$A:$D,4,FALSE)</f>
        <v>Silver</v>
      </c>
    </row>
    <row r="460" spans="1:10" x14ac:dyDescent="0.35">
      <c r="A460" t="s">
        <v>707</v>
      </c>
      <c r="B460" t="str">
        <f t="shared" ca="1" si="28"/>
        <v>CUST118</v>
      </c>
      <c r="C460" s="1">
        <f t="shared" ca="1" si="29"/>
        <v>45955</v>
      </c>
      <c r="D460" t="s">
        <v>1250</v>
      </c>
      <c r="E460" t="s">
        <v>1255</v>
      </c>
      <c r="F460">
        <f t="shared" ca="1" si="30"/>
        <v>9</v>
      </c>
      <c r="G460">
        <v>60</v>
      </c>
      <c r="H460">
        <f t="shared" ca="1" si="31"/>
        <v>540</v>
      </c>
      <c r="I460" t="s">
        <v>211</v>
      </c>
      <c r="J460" t="str">
        <f ca="1">VLOOKUP(B460,Customer_Data!$A:$D,4,FALSE)</f>
        <v>Gold</v>
      </c>
    </row>
    <row r="461" spans="1:10" x14ac:dyDescent="0.35">
      <c r="A461" t="s">
        <v>708</v>
      </c>
      <c r="B461" t="str">
        <f t="shared" ca="1" si="28"/>
        <v>CUST189</v>
      </c>
      <c r="C461" s="1">
        <f t="shared" ca="1" si="29"/>
        <v>45694</v>
      </c>
      <c r="D461" t="s">
        <v>1249</v>
      </c>
      <c r="E461" t="s">
        <v>1254</v>
      </c>
      <c r="F461">
        <f t="shared" ca="1" si="30"/>
        <v>4</v>
      </c>
      <c r="G461">
        <v>25</v>
      </c>
      <c r="H461">
        <f t="shared" ca="1" si="31"/>
        <v>100</v>
      </c>
      <c r="I461" t="s">
        <v>213</v>
      </c>
      <c r="J461" t="str">
        <f ca="1">VLOOKUP(B461,Customer_Data!$A:$D,4,FALSE)</f>
        <v>Regular</v>
      </c>
    </row>
    <row r="462" spans="1:10" x14ac:dyDescent="0.35">
      <c r="A462" t="s">
        <v>709</v>
      </c>
      <c r="B462" t="str">
        <f t="shared" ca="1" si="28"/>
        <v>CUST155</v>
      </c>
      <c r="C462" s="1">
        <f t="shared" ca="1" si="29"/>
        <v>45705</v>
      </c>
      <c r="D462" t="s">
        <v>1252</v>
      </c>
      <c r="E462" t="s">
        <v>1257</v>
      </c>
      <c r="F462">
        <f t="shared" ca="1" si="30"/>
        <v>1</v>
      </c>
      <c r="G462">
        <v>120</v>
      </c>
      <c r="H462">
        <f t="shared" ca="1" si="31"/>
        <v>120</v>
      </c>
      <c r="I462" t="s">
        <v>213</v>
      </c>
      <c r="J462" t="str">
        <f ca="1">VLOOKUP(B462,Customer_Data!$A:$D,4,FALSE)</f>
        <v>Silver</v>
      </c>
    </row>
    <row r="463" spans="1:10" x14ac:dyDescent="0.35">
      <c r="A463" t="s">
        <v>710</v>
      </c>
      <c r="B463" t="str">
        <f t="shared" ca="1" si="28"/>
        <v>CUST104</v>
      </c>
      <c r="C463" s="1">
        <f t="shared" ca="1" si="29"/>
        <v>45699</v>
      </c>
      <c r="D463" t="s">
        <v>1253</v>
      </c>
      <c r="E463" t="s">
        <v>1258</v>
      </c>
      <c r="F463">
        <f t="shared" ca="1" si="30"/>
        <v>2</v>
      </c>
      <c r="G463">
        <v>90</v>
      </c>
      <c r="H463">
        <f t="shared" ca="1" si="31"/>
        <v>180</v>
      </c>
      <c r="I463" t="s">
        <v>212</v>
      </c>
      <c r="J463" t="str">
        <f ca="1">VLOOKUP(B463,Customer_Data!$A:$D,4,FALSE)</f>
        <v>Regular</v>
      </c>
    </row>
    <row r="464" spans="1:10" x14ac:dyDescent="0.35">
      <c r="A464" t="s">
        <v>711</v>
      </c>
      <c r="B464" t="str">
        <f t="shared" ca="1" si="28"/>
        <v>CUST080</v>
      </c>
      <c r="C464" s="1">
        <f t="shared" ca="1" si="29"/>
        <v>45863</v>
      </c>
      <c r="D464" t="s">
        <v>1252</v>
      </c>
      <c r="E464" t="s">
        <v>1257</v>
      </c>
      <c r="F464">
        <f t="shared" ca="1" si="30"/>
        <v>8</v>
      </c>
      <c r="G464">
        <v>120</v>
      </c>
      <c r="H464">
        <f t="shared" ca="1" si="31"/>
        <v>960</v>
      </c>
      <c r="I464" t="s">
        <v>212</v>
      </c>
      <c r="J464" t="str">
        <f ca="1">VLOOKUP(B464,Customer_Data!$A:$D,4,FALSE)</f>
        <v>Gold</v>
      </c>
    </row>
    <row r="465" spans="1:10" x14ac:dyDescent="0.35">
      <c r="A465" t="s">
        <v>712</v>
      </c>
      <c r="B465" t="str">
        <f t="shared" ca="1" si="28"/>
        <v>CUST193</v>
      </c>
      <c r="C465" s="1">
        <f t="shared" ca="1" si="29"/>
        <v>45929</v>
      </c>
      <c r="D465" t="s">
        <v>1250</v>
      </c>
      <c r="E465" t="s">
        <v>1255</v>
      </c>
      <c r="F465">
        <f t="shared" ca="1" si="30"/>
        <v>4</v>
      </c>
      <c r="G465">
        <v>60</v>
      </c>
      <c r="H465">
        <f t="shared" ca="1" si="31"/>
        <v>240</v>
      </c>
      <c r="I465" t="s">
        <v>214</v>
      </c>
      <c r="J465" t="str">
        <f ca="1">VLOOKUP(B465,Customer_Data!$A:$D,4,FALSE)</f>
        <v>Silver</v>
      </c>
    </row>
    <row r="466" spans="1:10" x14ac:dyDescent="0.35">
      <c r="A466" t="s">
        <v>713</v>
      </c>
      <c r="B466" t="str">
        <f t="shared" ca="1" si="28"/>
        <v>CUST163</v>
      </c>
      <c r="C466" s="1">
        <f t="shared" ca="1" si="29"/>
        <v>45694</v>
      </c>
      <c r="D466" t="s">
        <v>1253</v>
      </c>
      <c r="E466" t="s">
        <v>1258</v>
      </c>
      <c r="F466">
        <f t="shared" ca="1" si="30"/>
        <v>4</v>
      </c>
      <c r="G466">
        <v>90</v>
      </c>
      <c r="H466">
        <f t="shared" ca="1" si="31"/>
        <v>360</v>
      </c>
      <c r="I466" t="s">
        <v>214</v>
      </c>
      <c r="J466" t="str">
        <f ca="1">VLOOKUP(B466,Customer_Data!$A:$D,4,FALSE)</f>
        <v>Regular</v>
      </c>
    </row>
    <row r="467" spans="1:10" x14ac:dyDescent="0.35">
      <c r="A467" t="s">
        <v>714</v>
      </c>
      <c r="B467" t="str">
        <f t="shared" ca="1" si="28"/>
        <v>CUST027</v>
      </c>
      <c r="C467" s="1">
        <f t="shared" ca="1" si="29"/>
        <v>45859</v>
      </c>
      <c r="D467" t="s">
        <v>1253</v>
      </c>
      <c r="E467" t="s">
        <v>1258</v>
      </c>
      <c r="F467">
        <f t="shared" ca="1" si="30"/>
        <v>1</v>
      </c>
      <c r="G467">
        <v>90</v>
      </c>
      <c r="H467">
        <f t="shared" ca="1" si="31"/>
        <v>90</v>
      </c>
      <c r="I467" t="s">
        <v>211</v>
      </c>
      <c r="J467" t="str">
        <f ca="1">VLOOKUP(B467,Customer_Data!$A:$D,4,FALSE)</f>
        <v>Regular</v>
      </c>
    </row>
    <row r="468" spans="1:10" x14ac:dyDescent="0.35">
      <c r="A468" t="s">
        <v>715</v>
      </c>
      <c r="B468" t="str">
        <f t="shared" ca="1" si="28"/>
        <v>CUST190</v>
      </c>
      <c r="C468" s="1">
        <f t="shared" ca="1" si="29"/>
        <v>45858</v>
      </c>
      <c r="D468" t="s">
        <v>1251</v>
      </c>
      <c r="E468" t="s">
        <v>1256</v>
      </c>
      <c r="F468">
        <f t="shared" ca="1" si="30"/>
        <v>9</v>
      </c>
      <c r="G468">
        <v>80</v>
      </c>
      <c r="H468">
        <f t="shared" ca="1" si="31"/>
        <v>720</v>
      </c>
      <c r="I468" t="s">
        <v>212</v>
      </c>
      <c r="J468" t="str">
        <f ca="1">VLOOKUP(B468,Customer_Data!$A:$D,4,FALSE)</f>
        <v>Regular</v>
      </c>
    </row>
    <row r="469" spans="1:10" x14ac:dyDescent="0.35">
      <c r="A469" t="s">
        <v>716</v>
      </c>
      <c r="B469" t="str">
        <f t="shared" ca="1" si="28"/>
        <v>CUST072</v>
      </c>
      <c r="C469" s="1">
        <f t="shared" ca="1" si="29"/>
        <v>45837</v>
      </c>
      <c r="D469" t="s">
        <v>1252</v>
      </c>
      <c r="E469" t="s">
        <v>1257</v>
      </c>
      <c r="F469">
        <f t="shared" ca="1" si="30"/>
        <v>6</v>
      </c>
      <c r="G469">
        <v>120</v>
      </c>
      <c r="H469">
        <f t="shared" ca="1" si="31"/>
        <v>720</v>
      </c>
      <c r="I469" t="s">
        <v>213</v>
      </c>
      <c r="J469" t="str">
        <f ca="1">VLOOKUP(B469,Customer_Data!$A:$D,4,FALSE)</f>
        <v>Regular</v>
      </c>
    </row>
    <row r="470" spans="1:10" x14ac:dyDescent="0.35">
      <c r="A470" t="s">
        <v>717</v>
      </c>
      <c r="B470" t="str">
        <f t="shared" ca="1" si="28"/>
        <v>CUST082</v>
      </c>
      <c r="C470" s="1">
        <f t="shared" ca="1" si="29"/>
        <v>45800</v>
      </c>
      <c r="D470" t="s">
        <v>1250</v>
      </c>
      <c r="E470" t="s">
        <v>1255</v>
      </c>
      <c r="F470">
        <f t="shared" ca="1" si="30"/>
        <v>9</v>
      </c>
      <c r="G470">
        <v>60</v>
      </c>
      <c r="H470">
        <f t="shared" ca="1" si="31"/>
        <v>540</v>
      </c>
      <c r="I470" t="s">
        <v>211</v>
      </c>
      <c r="J470" t="str">
        <f ca="1">VLOOKUP(B470,Customer_Data!$A:$D,4,FALSE)</f>
        <v>Regular</v>
      </c>
    </row>
    <row r="471" spans="1:10" x14ac:dyDescent="0.35">
      <c r="A471" t="s">
        <v>718</v>
      </c>
      <c r="B471" t="str">
        <f t="shared" ca="1" si="28"/>
        <v>CUST171</v>
      </c>
      <c r="C471" s="1">
        <f t="shared" ca="1" si="29"/>
        <v>45795</v>
      </c>
      <c r="D471" t="s">
        <v>1253</v>
      </c>
      <c r="E471" t="s">
        <v>1258</v>
      </c>
      <c r="F471">
        <f t="shared" ca="1" si="30"/>
        <v>8</v>
      </c>
      <c r="G471">
        <v>90</v>
      </c>
      <c r="H471">
        <f t="shared" ca="1" si="31"/>
        <v>720</v>
      </c>
      <c r="I471" t="s">
        <v>211</v>
      </c>
      <c r="J471" t="str">
        <f ca="1">VLOOKUP(B471,Customer_Data!$A:$D,4,FALSE)</f>
        <v>Regular</v>
      </c>
    </row>
    <row r="472" spans="1:10" x14ac:dyDescent="0.35">
      <c r="A472" t="s">
        <v>719</v>
      </c>
      <c r="B472" t="str">
        <f t="shared" ca="1" si="28"/>
        <v>CUST100</v>
      </c>
      <c r="C472" s="1">
        <f t="shared" ca="1" si="29"/>
        <v>45896</v>
      </c>
      <c r="D472" t="s">
        <v>1251</v>
      </c>
      <c r="E472" t="s">
        <v>1256</v>
      </c>
      <c r="F472">
        <f t="shared" ca="1" si="30"/>
        <v>9</v>
      </c>
      <c r="G472">
        <v>80</v>
      </c>
      <c r="H472">
        <f t="shared" ca="1" si="31"/>
        <v>720</v>
      </c>
      <c r="I472" t="s">
        <v>213</v>
      </c>
      <c r="J472" t="str">
        <f ca="1">VLOOKUP(B472,Customer_Data!$A:$D,4,FALSE)</f>
        <v>Gold</v>
      </c>
    </row>
    <row r="473" spans="1:10" x14ac:dyDescent="0.35">
      <c r="A473" t="s">
        <v>720</v>
      </c>
      <c r="B473" t="str">
        <f t="shared" ca="1" si="28"/>
        <v>CUST074</v>
      </c>
      <c r="C473" s="1">
        <f t="shared" ca="1" si="29"/>
        <v>45779</v>
      </c>
      <c r="D473" t="s">
        <v>1249</v>
      </c>
      <c r="E473" t="s">
        <v>1254</v>
      </c>
      <c r="F473">
        <f t="shared" ca="1" si="30"/>
        <v>8</v>
      </c>
      <c r="G473">
        <v>25</v>
      </c>
      <c r="H473">
        <f t="shared" ca="1" si="31"/>
        <v>200</v>
      </c>
      <c r="I473" t="s">
        <v>214</v>
      </c>
      <c r="J473" t="str">
        <f ca="1">VLOOKUP(B473,Customer_Data!$A:$D,4,FALSE)</f>
        <v>Silver</v>
      </c>
    </row>
    <row r="474" spans="1:10" x14ac:dyDescent="0.35">
      <c r="A474" t="s">
        <v>721</v>
      </c>
      <c r="B474" t="str">
        <f t="shared" ca="1" si="28"/>
        <v>CUST096</v>
      </c>
      <c r="C474" s="1">
        <f t="shared" ca="1" si="29"/>
        <v>45715</v>
      </c>
      <c r="D474" t="s">
        <v>1252</v>
      </c>
      <c r="E474" t="s">
        <v>1257</v>
      </c>
      <c r="F474">
        <f t="shared" ca="1" si="30"/>
        <v>7</v>
      </c>
      <c r="G474">
        <v>120</v>
      </c>
      <c r="H474">
        <f t="shared" ca="1" si="31"/>
        <v>840</v>
      </c>
      <c r="I474" t="s">
        <v>213</v>
      </c>
      <c r="J474" t="str">
        <f ca="1">VLOOKUP(B474,Customer_Data!$A:$D,4,FALSE)</f>
        <v>Silver</v>
      </c>
    </row>
    <row r="475" spans="1:10" x14ac:dyDescent="0.35">
      <c r="A475" t="s">
        <v>722</v>
      </c>
      <c r="B475" t="str">
        <f t="shared" ca="1" si="28"/>
        <v>CUST058</v>
      </c>
      <c r="C475" s="1">
        <f t="shared" ca="1" si="29"/>
        <v>45960</v>
      </c>
      <c r="D475" t="s">
        <v>1251</v>
      </c>
      <c r="E475" t="s">
        <v>1256</v>
      </c>
      <c r="F475">
        <f t="shared" ca="1" si="30"/>
        <v>10</v>
      </c>
      <c r="G475">
        <v>80</v>
      </c>
      <c r="H475">
        <f t="shared" ca="1" si="31"/>
        <v>800</v>
      </c>
      <c r="I475" t="s">
        <v>213</v>
      </c>
      <c r="J475" t="str">
        <f ca="1">VLOOKUP(B475,Customer_Data!$A:$D,4,FALSE)</f>
        <v>Gold</v>
      </c>
    </row>
    <row r="476" spans="1:10" x14ac:dyDescent="0.35">
      <c r="A476" t="s">
        <v>723</v>
      </c>
      <c r="B476" t="str">
        <f t="shared" ca="1" si="28"/>
        <v>CUST041</v>
      </c>
      <c r="C476" s="1">
        <f t="shared" ca="1" si="29"/>
        <v>45795</v>
      </c>
      <c r="D476" t="s">
        <v>1253</v>
      </c>
      <c r="E476" t="s">
        <v>1258</v>
      </c>
      <c r="F476">
        <f t="shared" ca="1" si="30"/>
        <v>10</v>
      </c>
      <c r="G476">
        <v>90</v>
      </c>
      <c r="H476">
        <f t="shared" ca="1" si="31"/>
        <v>900</v>
      </c>
      <c r="I476" t="s">
        <v>214</v>
      </c>
      <c r="J476" t="str">
        <f ca="1">VLOOKUP(B476,Customer_Data!$A:$D,4,FALSE)</f>
        <v>Regular</v>
      </c>
    </row>
    <row r="477" spans="1:10" x14ac:dyDescent="0.35">
      <c r="A477" t="s">
        <v>724</v>
      </c>
      <c r="B477" t="str">
        <f t="shared" ca="1" si="28"/>
        <v>CUST185</v>
      </c>
      <c r="C477" s="1">
        <f t="shared" ca="1" si="29"/>
        <v>45718</v>
      </c>
      <c r="D477" t="s">
        <v>1252</v>
      </c>
      <c r="E477" t="s">
        <v>1257</v>
      </c>
      <c r="F477">
        <f t="shared" ca="1" si="30"/>
        <v>4</v>
      </c>
      <c r="G477">
        <v>120</v>
      </c>
      <c r="H477">
        <f t="shared" ca="1" si="31"/>
        <v>480</v>
      </c>
      <c r="I477" t="s">
        <v>211</v>
      </c>
      <c r="J477" t="str">
        <f ca="1">VLOOKUP(B477,Customer_Data!$A:$D,4,FALSE)</f>
        <v>Regular</v>
      </c>
    </row>
    <row r="478" spans="1:10" x14ac:dyDescent="0.35">
      <c r="A478" t="s">
        <v>725</v>
      </c>
      <c r="B478" t="str">
        <f t="shared" ca="1" si="28"/>
        <v>CUST151</v>
      </c>
      <c r="C478" s="1">
        <f t="shared" ca="1" si="29"/>
        <v>45842</v>
      </c>
      <c r="D478" t="s">
        <v>1250</v>
      </c>
      <c r="E478" t="s">
        <v>1255</v>
      </c>
      <c r="F478">
        <f t="shared" ca="1" si="30"/>
        <v>8</v>
      </c>
      <c r="G478">
        <v>60</v>
      </c>
      <c r="H478">
        <f t="shared" ca="1" si="31"/>
        <v>480</v>
      </c>
      <c r="I478" t="s">
        <v>212</v>
      </c>
      <c r="J478" t="str">
        <f ca="1">VLOOKUP(B478,Customer_Data!$A:$D,4,FALSE)</f>
        <v>Regular</v>
      </c>
    </row>
    <row r="479" spans="1:10" x14ac:dyDescent="0.35">
      <c r="A479" t="s">
        <v>726</v>
      </c>
      <c r="B479" t="str">
        <f t="shared" ca="1" si="28"/>
        <v>CUST099</v>
      </c>
      <c r="C479" s="1">
        <f t="shared" ca="1" si="29"/>
        <v>46007</v>
      </c>
      <c r="D479" t="s">
        <v>1253</v>
      </c>
      <c r="E479" t="s">
        <v>1258</v>
      </c>
      <c r="F479">
        <f t="shared" ca="1" si="30"/>
        <v>7</v>
      </c>
      <c r="G479">
        <v>90</v>
      </c>
      <c r="H479">
        <f t="shared" ca="1" si="31"/>
        <v>630</v>
      </c>
      <c r="I479" t="s">
        <v>211</v>
      </c>
      <c r="J479" t="str">
        <f ca="1">VLOOKUP(B479,Customer_Data!$A:$D,4,FALSE)</f>
        <v>Gold</v>
      </c>
    </row>
    <row r="480" spans="1:10" x14ac:dyDescent="0.35">
      <c r="A480" t="s">
        <v>727</v>
      </c>
      <c r="B480" t="str">
        <f t="shared" ca="1" si="28"/>
        <v>CUST199</v>
      </c>
      <c r="C480" s="1">
        <f t="shared" ca="1" si="29"/>
        <v>46019</v>
      </c>
      <c r="D480" t="s">
        <v>1253</v>
      </c>
      <c r="E480" t="s">
        <v>1258</v>
      </c>
      <c r="F480">
        <f t="shared" ca="1" si="30"/>
        <v>2</v>
      </c>
      <c r="G480">
        <v>90</v>
      </c>
      <c r="H480">
        <f t="shared" ca="1" si="31"/>
        <v>180</v>
      </c>
      <c r="I480" t="s">
        <v>213</v>
      </c>
      <c r="J480" t="str">
        <f ca="1">VLOOKUP(B480,Customer_Data!$A:$D,4,FALSE)</f>
        <v>Gold</v>
      </c>
    </row>
    <row r="481" spans="1:10" x14ac:dyDescent="0.35">
      <c r="A481" t="s">
        <v>728</v>
      </c>
      <c r="B481" t="str">
        <f t="shared" ca="1" si="28"/>
        <v>CUST075</v>
      </c>
      <c r="C481" s="1">
        <f t="shared" ca="1" si="29"/>
        <v>45765</v>
      </c>
      <c r="D481" t="s">
        <v>1249</v>
      </c>
      <c r="E481" t="s">
        <v>1254</v>
      </c>
      <c r="F481">
        <f t="shared" ca="1" si="30"/>
        <v>10</v>
      </c>
      <c r="G481">
        <v>25</v>
      </c>
      <c r="H481">
        <f t="shared" ca="1" si="31"/>
        <v>250</v>
      </c>
      <c r="I481" t="s">
        <v>212</v>
      </c>
      <c r="J481" t="str">
        <f ca="1">VLOOKUP(B481,Customer_Data!$A:$D,4,FALSE)</f>
        <v>Silver</v>
      </c>
    </row>
    <row r="482" spans="1:10" x14ac:dyDescent="0.35">
      <c r="A482" t="s">
        <v>729</v>
      </c>
      <c r="B482" t="str">
        <f t="shared" ca="1" si="28"/>
        <v>CUST155</v>
      </c>
      <c r="C482" s="1">
        <f t="shared" ca="1" si="29"/>
        <v>45687</v>
      </c>
      <c r="D482" t="s">
        <v>1252</v>
      </c>
      <c r="E482" t="s">
        <v>1257</v>
      </c>
      <c r="F482">
        <f t="shared" ca="1" si="30"/>
        <v>7</v>
      </c>
      <c r="G482">
        <v>120</v>
      </c>
      <c r="H482">
        <f t="shared" ca="1" si="31"/>
        <v>840</v>
      </c>
      <c r="I482" t="s">
        <v>213</v>
      </c>
      <c r="J482" t="str">
        <f ca="1">VLOOKUP(B482,Customer_Data!$A:$D,4,FALSE)</f>
        <v>Silver</v>
      </c>
    </row>
    <row r="483" spans="1:10" x14ac:dyDescent="0.35">
      <c r="A483" t="s">
        <v>730</v>
      </c>
      <c r="B483" t="str">
        <f t="shared" ca="1" si="28"/>
        <v>CUST135</v>
      </c>
      <c r="C483" s="1">
        <f t="shared" ca="1" si="29"/>
        <v>45908</v>
      </c>
      <c r="D483" t="s">
        <v>1250</v>
      </c>
      <c r="E483" t="s">
        <v>1255</v>
      </c>
      <c r="F483">
        <f t="shared" ca="1" si="30"/>
        <v>10</v>
      </c>
      <c r="G483">
        <v>60</v>
      </c>
      <c r="H483">
        <f t="shared" ca="1" si="31"/>
        <v>600</v>
      </c>
      <c r="I483" t="s">
        <v>212</v>
      </c>
      <c r="J483" t="str">
        <f ca="1">VLOOKUP(B483,Customer_Data!$A:$D,4,FALSE)</f>
        <v>Silver</v>
      </c>
    </row>
    <row r="484" spans="1:10" x14ac:dyDescent="0.35">
      <c r="A484" t="s">
        <v>731</v>
      </c>
      <c r="B484" t="str">
        <f t="shared" ca="1" si="28"/>
        <v>CUST048</v>
      </c>
      <c r="C484" s="1">
        <f t="shared" ca="1" si="29"/>
        <v>45943</v>
      </c>
      <c r="D484" t="s">
        <v>1252</v>
      </c>
      <c r="E484" t="s">
        <v>1257</v>
      </c>
      <c r="F484">
        <f t="shared" ca="1" si="30"/>
        <v>7</v>
      </c>
      <c r="G484">
        <v>120</v>
      </c>
      <c r="H484">
        <f t="shared" ca="1" si="31"/>
        <v>840</v>
      </c>
      <c r="I484" t="s">
        <v>213</v>
      </c>
      <c r="J484" t="str">
        <f ca="1">VLOOKUP(B484,Customer_Data!$A:$D,4,FALSE)</f>
        <v>Regular</v>
      </c>
    </row>
    <row r="485" spans="1:10" x14ac:dyDescent="0.35">
      <c r="A485" t="s">
        <v>732</v>
      </c>
      <c r="B485" t="str">
        <f t="shared" ca="1" si="28"/>
        <v>CUST125</v>
      </c>
      <c r="C485" s="1">
        <f t="shared" ca="1" si="29"/>
        <v>45750</v>
      </c>
      <c r="D485" t="s">
        <v>1251</v>
      </c>
      <c r="E485" t="s">
        <v>1256</v>
      </c>
      <c r="F485">
        <f t="shared" ca="1" si="30"/>
        <v>4</v>
      </c>
      <c r="G485">
        <v>80</v>
      </c>
      <c r="H485">
        <f t="shared" ca="1" si="31"/>
        <v>320</v>
      </c>
      <c r="I485" t="s">
        <v>214</v>
      </c>
      <c r="J485" t="str">
        <f ca="1">VLOOKUP(B485,Customer_Data!$A:$D,4,FALSE)</f>
        <v>Regular</v>
      </c>
    </row>
    <row r="486" spans="1:10" x14ac:dyDescent="0.35">
      <c r="A486" t="s">
        <v>733</v>
      </c>
      <c r="B486" t="str">
        <f t="shared" ca="1" si="28"/>
        <v>CUST097</v>
      </c>
      <c r="C486" s="1">
        <f t="shared" ca="1" si="29"/>
        <v>45900</v>
      </c>
      <c r="D486" t="s">
        <v>1253</v>
      </c>
      <c r="E486" t="s">
        <v>1258</v>
      </c>
      <c r="F486">
        <f t="shared" ca="1" si="30"/>
        <v>2</v>
      </c>
      <c r="G486">
        <v>90</v>
      </c>
      <c r="H486">
        <f t="shared" ca="1" si="31"/>
        <v>180</v>
      </c>
      <c r="I486" t="s">
        <v>213</v>
      </c>
      <c r="J486" t="str">
        <f ca="1">VLOOKUP(B486,Customer_Data!$A:$D,4,FALSE)</f>
        <v>Silver</v>
      </c>
    </row>
    <row r="487" spans="1:10" x14ac:dyDescent="0.35">
      <c r="A487" t="s">
        <v>734</v>
      </c>
      <c r="B487" t="str">
        <f t="shared" ca="1" si="28"/>
        <v>CUST091</v>
      </c>
      <c r="C487" s="1">
        <f t="shared" ca="1" si="29"/>
        <v>45732</v>
      </c>
      <c r="D487" t="s">
        <v>1253</v>
      </c>
      <c r="E487" t="s">
        <v>1258</v>
      </c>
      <c r="F487">
        <f t="shared" ca="1" si="30"/>
        <v>7</v>
      </c>
      <c r="G487">
        <v>90</v>
      </c>
      <c r="H487">
        <f t="shared" ca="1" si="31"/>
        <v>630</v>
      </c>
      <c r="I487" t="s">
        <v>211</v>
      </c>
      <c r="J487" t="str">
        <f ca="1">VLOOKUP(B487,Customer_Data!$A:$D,4,FALSE)</f>
        <v>Regular</v>
      </c>
    </row>
    <row r="488" spans="1:10" x14ac:dyDescent="0.35">
      <c r="A488" t="s">
        <v>735</v>
      </c>
      <c r="B488" t="str">
        <f t="shared" ca="1" si="28"/>
        <v>CUST002</v>
      </c>
      <c r="C488" s="1">
        <f t="shared" ca="1" si="29"/>
        <v>45759</v>
      </c>
      <c r="D488" t="s">
        <v>1249</v>
      </c>
      <c r="E488" t="s">
        <v>1254</v>
      </c>
      <c r="F488">
        <f t="shared" ca="1" si="30"/>
        <v>8</v>
      </c>
      <c r="G488">
        <v>25</v>
      </c>
      <c r="H488">
        <f t="shared" ca="1" si="31"/>
        <v>200</v>
      </c>
      <c r="I488" t="s">
        <v>212</v>
      </c>
      <c r="J488" t="str">
        <f ca="1">VLOOKUP(B488,Customer_Data!$A:$D,4,FALSE)</f>
        <v>Regular</v>
      </c>
    </row>
    <row r="489" spans="1:10" x14ac:dyDescent="0.35">
      <c r="A489" t="s">
        <v>736</v>
      </c>
      <c r="B489" t="str">
        <f t="shared" ca="1" si="28"/>
        <v>CUST192</v>
      </c>
      <c r="C489" s="1">
        <f t="shared" ca="1" si="29"/>
        <v>45938</v>
      </c>
      <c r="D489" t="s">
        <v>1252</v>
      </c>
      <c r="E489" t="s">
        <v>1257</v>
      </c>
      <c r="F489">
        <f t="shared" ca="1" si="30"/>
        <v>2</v>
      </c>
      <c r="G489">
        <v>120</v>
      </c>
      <c r="H489">
        <f t="shared" ca="1" si="31"/>
        <v>240</v>
      </c>
      <c r="I489" t="s">
        <v>212</v>
      </c>
      <c r="J489" t="str">
        <f ca="1">VLOOKUP(B489,Customer_Data!$A:$D,4,FALSE)</f>
        <v>Regular</v>
      </c>
    </row>
    <row r="490" spans="1:10" x14ac:dyDescent="0.35">
      <c r="A490" t="s">
        <v>737</v>
      </c>
      <c r="B490" t="str">
        <f t="shared" ca="1" si="28"/>
        <v>CUST029</v>
      </c>
      <c r="C490" s="1">
        <f t="shared" ca="1" si="29"/>
        <v>45665</v>
      </c>
      <c r="D490" t="s">
        <v>1249</v>
      </c>
      <c r="E490" t="s">
        <v>1254</v>
      </c>
      <c r="F490">
        <f t="shared" ca="1" si="30"/>
        <v>4</v>
      </c>
      <c r="G490">
        <v>25</v>
      </c>
      <c r="H490">
        <f t="shared" ca="1" si="31"/>
        <v>100</v>
      </c>
      <c r="I490" t="s">
        <v>212</v>
      </c>
      <c r="J490" t="str">
        <f ca="1">VLOOKUP(B490,Customer_Data!$A:$D,4,FALSE)</f>
        <v>Regular</v>
      </c>
    </row>
    <row r="491" spans="1:10" x14ac:dyDescent="0.35">
      <c r="A491" t="s">
        <v>738</v>
      </c>
      <c r="B491" t="str">
        <f t="shared" ca="1" si="28"/>
        <v>CUST032</v>
      </c>
      <c r="C491" s="1">
        <f t="shared" ca="1" si="29"/>
        <v>45872</v>
      </c>
      <c r="D491" t="s">
        <v>1249</v>
      </c>
      <c r="E491" t="s">
        <v>1254</v>
      </c>
      <c r="F491">
        <f t="shared" ca="1" si="30"/>
        <v>10</v>
      </c>
      <c r="G491">
        <v>25</v>
      </c>
      <c r="H491">
        <f t="shared" ca="1" si="31"/>
        <v>250</v>
      </c>
      <c r="I491" t="s">
        <v>213</v>
      </c>
      <c r="J491" t="str">
        <f ca="1">VLOOKUP(B491,Customer_Data!$A:$D,4,FALSE)</f>
        <v>Regular</v>
      </c>
    </row>
    <row r="492" spans="1:10" x14ac:dyDescent="0.35">
      <c r="A492" t="s">
        <v>739</v>
      </c>
      <c r="B492" t="str">
        <f t="shared" ca="1" si="28"/>
        <v>CUST169</v>
      </c>
      <c r="C492" s="1">
        <f t="shared" ca="1" si="29"/>
        <v>46006</v>
      </c>
      <c r="D492" t="s">
        <v>1252</v>
      </c>
      <c r="E492" t="s">
        <v>1257</v>
      </c>
      <c r="F492">
        <f t="shared" ca="1" si="30"/>
        <v>9</v>
      </c>
      <c r="G492">
        <v>120</v>
      </c>
      <c r="H492">
        <f t="shared" ca="1" si="31"/>
        <v>1080</v>
      </c>
      <c r="I492" t="s">
        <v>213</v>
      </c>
      <c r="J492" t="str">
        <f ca="1">VLOOKUP(B492,Customer_Data!$A:$D,4,FALSE)</f>
        <v>Regular</v>
      </c>
    </row>
    <row r="493" spans="1:10" x14ac:dyDescent="0.35">
      <c r="A493" t="s">
        <v>740</v>
      </c>
      <c r="B493" t="str">
        <f t="shared" ca="1" si="28"/>
        <v>CUST073</v>
      </c>
      <c r="C493" s="1">
        <f t="shared" ca="1" si="29"/>
        <v>45675</v>
      </c>
      <c r="D493" t="s">
        <v>1250</v>
      </c>
      <c r="E493" t="s">
        <v>1255</v>
      </c>
      <c r="F493">
        <f t="shared" ca="1" si="30"/>
        <v>2</v>
      </c>
      <c r="G493">
        <v>60</v>
      </c>
      <c r="H493">
        <f t="shared" ca="1" si="31"/>
        <v>120</v>
      </c>
      <c r="I493" t="s">
        <v>214</v>
      </c>
      <c r="J493" t="str">
        <f ca="1">VLOOKUP(B493,Customer_Data!$A:$D,4,FALSE)</f>
        <v>Silver</v>
      </c>
    </row>
    <row r="494" spans="1:10" x14ac:dyDescent="0.35">
      <c r="A494" t="s">
        <v>741</v>
      </c>
      <c r="B494" t="str">
        <f t="shared" ca="1" si="28"/>
        <v>CUST195</v>
      </c>
      <c r="C494" s="1">
        <f t="shared" ca="1" si="29"/>
        <v>45977</v>
      </c>
      <c r="D494" t="s">
        <v>1251</v>
      </c>
      <c r="E494" t="s">
        <v>1256</v>
      </c>
      <c r="F494">
        <f t="shared" ca="1" si="30"/>
        <v>2</v>
      </c>
      <c r="G494">
        <v>80</v>
      </c>
      <c r="H494">
        <f t="shared" ca="1" si="31"/>
        <v>160</v>
      </c>
      <c r="I494" t="s">
        <v>214</v>
      </c>
      <c r="J494" t="str">
        <f ca="1">VLOOKUP(B494,Customer_Data!$A:$D,4,FALSE)</f>
        <v>Silver</v>
      </c>
    </row>
    <row r="495" spans="1:10" x14ac:dyDescent="0.35">
      <c r="A495" t="s">
        <v>742</v>
      </c>
      <c r="B495" t="str">
        <f t="shared" ca="1" si="28"/>
        <v>CUST192</v>
      </c>
      <c r="C495" s="1">
        <f t="shared" ca="1" si="29"/>
        <v>45772</v>
      </c>
      <c r="D495" t="s">
        <v>1250</v>
      </c>
      <c r="E495" t="s">
        <v>1255</v>
      </c>
      <c r="F495">
        <f t="shared" ca="1" si="30"/>
        <v>1</v>
      </c>
      <c r="G495">
        <v>60</v>
      </c>
      <c r="H495">
        <f t="shared" ca="1" si="31"/>
        <v>60</v>
      </c>
      <c r="I495" t="s">
        <v>211</v>
      </c>
      <c r="J495" t="str">
        <f ca="1">VLOOKUP(B495,Customer_Data!$A:$D,4,FALSE)</f>
        <v>Regular</v>
      </c>
    </row>
    <row r="496" spans="1:10" x14ac:dyDescent="0.35">
      <c r="A496" t="s">
        <v>743</v>
      </c>
      <c r="B496" t="str">
        <f t="shared" ca="1" si="28"/>
        <v>CUST117</v>
      </c>
      <c r="C496" s="1">
        <f t="shared" ca="1" si="29"/>
        <v>45932</v>
      </c>
      <c r="D496" t="s">
        <v>1250</v>
      </c>
      <c r="E496" t="s">
        <v>1255</v>
      </c>
      <c r="F496">
        <f t="shared" ca="1" si="30"/>
        <v>6</v>
      </c>
      <c r="G496">
        <v>60</v>
      </c>
      <c r="H496">
        <f t="shared" ca="1" si="31"/>
        <v>360</v>
      </c>
      <c r="I496" t="s">
        <v>213</v>
      </c>
      <c r="J496" t="str">
        <f ca="1">VLOOKUP(B496,Customer_Data!$A:$D,4,FALSE)</f>
        <v>Silver</v>
      </c>
    </row>
    <row r="497" spans="1:10" x14ac:dyDescent="0.35">
      <c r="A497" t="s">
        <v>744</v>
      </c>
      <c r="B497" t="str">
        <f t="shared" ca="1" si="28"/>
        <v>CUST193</v>
      </c>
      <c r="C497" s="1">
        <f t="shared" ca="1" si="29"/>
        <v>45685</v>
      </c>
      <c r="D497" t="s">
        <v>1249</v>
      </c>
      <c r="E497" t="s">
        <v>1254</v>
      </c>
      <c r="F497">
        <f t="shared" ca="1" si="30"/>
        <v>9</v>
      </c>
      <c r="G497">
        <v>25</v>
      </c>
      <c r="H497">
        <f t="shared" ca="1" si="31"/>
        <v>225</v>
      </c>
      <c r="I497" t="s">
        <v>212</v>
      </c>
      <c r="J497" t="str">
        <f ca="1">VLOOKUP(B497,Customer_Data!$A:$D,4,FALSE)</f>
        <v>Silver</v>
      </c>
    </row>
    <row r="498" spans="1:10" x14ac:dyDescent="0.35">
      <c r="A498" t="s">
        <v>745</v>
      </c>
      <c r="B498" t="str">
        <f t="shared" ca="1" si="28"/>
        <v>CUST157</v>
      </c>
      <c r="C498" s="1">
        <f t="shared" ca="1" si="29"/>
        <v>45660</v>
      </c>
      <c r="D498" t="s">
        <v>1251</v>
      </c>
      <c r="E498" t="s">
        <v>1256</v>
      </c>
      <c r="F498">
        <f t="shared" ca="1" si="30"/>
        <v>3</v>
      </c>
      <c r="G498">
        <v>80</v>
      </c>
      <c r="H498">
        <f t="shared" ca="1" si="31"/>
        <v>240</v>
      </c>
      <c r="I498" t="s">
        <v>211</v>
      </c>
      <c r="J498" t="str">
        <f ca="1">VLOOKUP(B498,Customer_Data!$A:$D,4,FALSE)</f>
        <v>Silver</v>
      </c>
    </row>
    <row r="499" spans="1:10" x14ac:dyDescent="0.35">
      <c r="A499" t="s">
        <v>746</v>
      </c>
      <c r="B499" t="str">
        <f t="shared" ca="1" si="28"/>
        <v>CUST078</v>
      </c>
      <c r="C499" s="1">
        <f t="shared" ca="1" si="29"/>
        <v>45727</v>
      </c>
      <c r="D499" t="s">
        <v>1249</v>
      </c>
      <c r="E499" t="s">
        <v>1254</v>
      </c>
      <c r="F499">
        <f t="shared" ca="1" si="30"/>
        <v>5</v>
      </c>
      <c r="G499">
        <v>25</v>
      </c>
      <c r="H499">
        <f t="shared" ca="1" si="31"/>
        <v>125</v>
      </c>
      <c r="I499" t="s">
        <v>213</v>
      </c>
      <c r="J499" t="str">
        <f ca="1">VLOOKUP(B499,Customer_Data!$A:$D,4,FALSE)</f>
        <v>Gold</v>
      </c>
    </row>
    <row r="500" spans="1:10" x14ac:dyDescent="0.35">
      <c r="A500" t="s">
        <v>747</v>
      </c>
      <c r="B500" t="str">
        <f t="shared" ca="1" si="28"/>
        <v>CUST113</v>
      </c>
      <c r="C500" s="1">
        <f t="shared" ca="1" si="29"/>
        <v>46016</v>
      </c>
      <c r="D500" t="s">
        <v>1252</v>
      </c>
      <c r="E500" t="s">
        <v>1257</v>
      </c>
      <c r="F500">
        <f t="shared" ca="1" si="30"/>
        <v>8</v>
      </c>
      <c r="G500">
        <v>120</v>
      </c>
      <c r="H500">
        <f t="shared" ca="1" si="31"/>
        <v>960</v>
      </c>
      <c r="I500" t="s">
        <v>212</v>
      </c>
      <c r="J500" t="str">
        <f ca="1">VLOOKUP(B500,Customer_Data!$A:$D,4,FALSE)</f>
        <v>Silver</v>
      </c>
    </row>
    <row r="501" spans="1:10" x14ac:dyDescent="0.35">
      <c r="A501" t="s">
        <v>748</v>
      </c>
      <c r="B501" t="str">
        <f t="shared" ca="1" si="28"/>
        <v>CUST040</v>
      </c>
      <c r="C501" s="1">
        <f t="shared" ca="1" si="29"/>
        <v>45959</v>
      </c>
      <c r="D501" t="s">
        <v>1252</v>
      </c>
      <c r="E501" t="s">
        <v>1257</v>
      </c>
      <c r="F501">
        <f t="shared" ca="1" si="30"/>
        <v>9</v>
      </c>
      <c r="G501">
        <v>120</v>
      </c>
      <c r="H501">
        <f t="shared" ca="1" si="31"/>
        <v>1080</v>
      </c>
      <c r="I501" t="s">
        <v>211</v>
      </c>
      <c r="J501" t="str">
        <f ca="1">VLOOKUP(B501,Customer_Data!$A:$D,4,FALSE)</f>
        <v>Gold</v>
      </c>
    </row>
    <row r="502" spans="1:10" x14ac:dyDescent="0.35">
      <c r="A502" t="s">
        <v>749</v>
      </c>
      <c r="B502" t="str">
        <f t="shared" ca="1" si="28"/>
        <v>CUST181</v>
      </c>
      <c r="C502" s="1">
        <f t="shared" ca="1" si="29"/>
        <v>45713</v>
      </c>
      <c r="D502" t="s">
        <v>1252</v>
      </c>
      <c r="E502" t="s">
        <v>1257</v>
      </c>
      <c r="F502">
        <f t="shared" ca="1" si="30"/>
        <v>8</v>
      </c>
      <c r="G502">
        <v>120</v>
      </c>
      <c r="H502">
        <f t="shared" ca="1" si="31"/>
        <v>960</v>
      </c>
      <c r="I502" t="s">
        <v>213</v>
      </c>
      <c r="J502" t="str">
        <f ca="1">VLOOKUP(B502,Customer_Data!$A:$D,4,FALSE)</f>
        <v>Regular</v>
      </c>
    </row>
    <row r="503" spans="1:10" x14ac:dyDescent="0.35">
      <c r="A503" t="s">
        <v>750</v>
      </c>
      <c r="B503" t="str">
        <f t="shared" ca="1" si="28"/>
        <v>CUST028</v>
      </c>
      <c r="C503" s="1">
        <f t="shared" ca="1" si="29"/>
        <v>45997</v>
      </c>
      <c r="D503" t="s">
        <v>1249</v>
      </c>
      <c r="E503" t="s">
        <v>1254</v>
      </c>
      <c r="F503">
        <f t="shared" ca="1" si="30"/>
        <v>7</v>
      </c>
      <c r="G503">
        <v>25</v>
      </c>
      <c r="H503">
        <f t="shared" ca="1" si="31"/>
        <v>175</v>
      </c>
      <c r="I503" t="s">
        <v>214</v>
      </c>
      <c r="J503" t="str">
        <f ca="1">VLOOKUP(B503,Customer_Data!$A:$D,4,FALSE)</f>
        <v>Regular</v>
      </c>
    </row>
    <row r="504" spans="1:10" x14ac:dyDescent="0.35">
      <c r="A504" t="s">
        <v>751</v>
      </c>
      <c r="B504" t="str">
        <f t="shared" ca="1" si="28"/>
        <v>CUST018</v>
      </c>
      <c r="C504" s="1">
        <f t="shared" ca="1" si="29"/>
        <v>45674</v>
      </c>
      <c r="D504" t="s">
        <v>1250</v>
      </c>
      <c r="E504" t="s">
        <v>1255</v>
      </c>
      <c r="F504">
        <f t="shared" ca="1" si="30"/>
        <v>6</v>
      </c>
      <c r="G504">
        <v>60</v>
      </c>
      <c r="H504">
        <f t="shared" ca="1" si="31"/>
        <v>360</v>
      </c>
      <c r="I504" t="s">
        <v>213</v>
      </c>
      <c r="J504" t="str">
        <f ca="1">VLOOKUP(B504,Customer_Data!$A:$D,4,FALSE)</f>
        <v>Gold</v>
      </c>
    </row>
    <row r="505" spans="1:10" x14ac:dyDescent="0.35">
      <c r="A505" t="s">
        <v>752</v>
      </c>
      <c r="B505" t="str">
        <f t="shared" ca="1" si="28"/>
        <v>CUST109</v>
      </c>
      <c r="C505" s="1">
        <f t="shared" ca="1" si="29"/>
        <v>45900</v>
      </c>
      <c r="D505" t="s">
        <v>1251</v>
      </c>
      <c r="E505" t="s">
        <v>1256</v>
      </c>
      <c r="F505">
        <f t="shared" ca="1" si="30"/>
        <v>10</v>
      </c>
      <c r="G505">
        <v>80</v>
      </c>
      <c r="H505">
        <f t="shared" ca="1" si="31"/>
        <v>800</v>
      </c>
      <c r="I505" t="s">
        <v>213</v>
      </c>
      <c r="J505" t="str">
        <f ca="1">VLOOKUP(B505,Customer_Data!$A:$D,4,FALSE)</f>
        <v>Regular</v>
      </c>
    </row>
    <row r="506" spans="1:10" x14ac:dyDescent="0.35">
      <c r="A506" t="s">
        <v>753</v>
      </c>
      <c r="B506" t="str">
        <f t="shared" ca="1" si="28"/>
        <v>CUST191</v>
      </c>
      <c r="C506" s="1">
        <f t="shared" ca="1" si="29"/>
        <v>45913</v>
      </c>
      <c r="D506" t="s">
        <v>1250</v>
      </c>
      <c r="E506" t="s">
        <v>1255</v>
      </c>
      <c r="F506">
        <f t="shared" ca="1" si="30"/>
        <v>5</v>
      </c>
      <c r="G506">
        <v>60</v>
      </c>
      <c r="H506">
        <f t="shared" ca="1" si="31"/>
        <v>300</v>
      </c>
      <c r="I506" t="s">
        <v>211</v>
      </c>
      <c r="J506" t="str">
        <f ca="1">VLOOKUP(B506,Customer_Data!$A:$D,4,FALSE)</f>
        <v>Regular</v>
      </c>
    </row>
    <row r="507" spans="1:10" x14ac:dyDescent="0.35">
      <c r="A507" t="s">
        <v>754</v>
      </c>
      <c r="B507" t="str">
        <f t="shared" ca="1" si="28"/>
        <v>CUST147</v>
      </c>
      <c r="C507" s="1">
        <f t="shared" ca="1" si="29"/>
        <v>45742</v>
      </c>
      <c r="D507" t="s">
        <v>1249</v>
      </c>
      <c r="E507" t="s">
        <v>1254</v>
      </c>
      <c r="F507">
        <f t="shared" ca="1" si="30"/>
        <v>3</v>
      </c>
      <c r="G507">
        <v>25</v>
      </c>
      <c r="H507">
        <f t="shared" ca="1" si="31"/>
        <v>75</v>
      </c>
      <c r="I507" t="s">
        <v>212</v>
      </c>
      <c r="J507" t="str">
        <f ca="1">VLOOKUP(B507,Customer_Data!$A:$D,4,FALSE)</f>
        <v>Regular</v>
      </c>
    </row>
    <row r="508" spans="1:10" x14ac:dyDescent="0.35">
      <c r="A508" t="s">
        <v>755</v>
      </c>
      <c r="B508" t="str">
        <f t="shared" ca="1" si="28"/>
        <v>CUST087</v>
      </c>
      <c r="C508" s="1">
        <f t="shared" ca="1" si="29"/>
        <v>45886</v>
      </c>
      <c r="D508" t="s">
        <v>1253</v>
      </c>
      <c r="E508" t="s">
        <v>1258</v>
      </c>
      <c r="F508">
        <f t="shared" ca="1" si="30"/>
        <v>2</v>
      </c>
      <c r="G508">
        <v>90</v>
      </c>
      <c r="H508">
        <f t="shared" ca="1" si="31"/>
        <v>180</v>
      </c>
      <c r="I508" t="s">
        <v>211</v>
      </c>
      <c r="J508" t="str">
        <f ca="1">VLOOKUP(B508,Customer_Data!$A:$D,4,FALSE)</f>
        <v>Regular</v>
      </c>
    </row>
    <row r="509" spans="1:10" x14ac:dyDescent="0.35">
      <c r="A509" t="s">
        <v>756</v>
      </c>
      <c r="B509" t="str">
        <f t="shared" ca="1" si="28"/>
        <v>CUST071</v>
      </c>
      <c r="C509" s="1">
        <f t="shared" ca="1" si="29"/>
        <v>45960</v>
      </c>
      <c r="D509" t="s">
        <v>1251</v>
      </c>
      <c r="E509" t="s">
        <v>1256</v>
      </c>
      <c r="F509">
        <f t="shared" ca="1" si="30"/>
        <v>6</v>
      </c>
      <c r="G509">
        <v>80</v>
      </c>
      <c r="H509">
        <f t="shared" ca="1" si="31"/>
        <v>480</v>
      </c>
      <c r="I509" t="s">
        <v>214</v>
      </c>
      <c r="J509" t="str">
        <f ca="1">VLOOKUP(B509,Customer_Data!$A:$D,4,FALSE)</f>
        <v>Regular</v>
      </c>
    </row>
    <row r="510" spans="1:10" x14ac:dyDescent="0.35">
      <c r="A510" t="s">
        <v>757</v>
      </c>
      <c r="B510" t="str">
        <f t="shared" ca="1" si="28"/>
        <v>CUST054</v>
      </c>
      <c r="C510" s="1">
        <f t="shared" ca="1" si="29"/>
        <v>46013</v>
      </c>
      <c r="D510" t="s">
        <v>1251</v>
      </c>
      <c r="E510" t="s">
        <v>1256</v>
      </c>
      <c r="F510">
        <f t="shared" ca="1" si="30"/>
        <v>8</v>
      </c>
      <c r="G510">
        <v>80</v>
      </c>
      <c r="H510">
        <f t="shared" ca="1" si="31"/>
        <v>640</v>
      </c>
      <c r="I510" t="s">
        <v>214</v>
      </c>
      <c r="J510" t="str">
        <f ca="1">VLOOKUP(B510,Customer_Data!$A:$D,4,FALSE)</f>
        <v>Silver</v>
      </c>
    </row>
    <row r="511" spans="1:10" x14ac:dyDescent="0.35">
      <c r="A511" t="s">
        <v>758</v>
      </c>
      <c r="B511" t="str">
        <f t="shared" ca="1" si="28"/>
        <v>CUST148</v>
      </c>
      <c r="C511" s="1">
        <f t="shared" ca="1" si="29"/>
        <v>45900</v>
      </c>
      <c r="D511" t="s">
        <v>1250</v>
      </c>
      <c r="E511" t="s">
        <v>1255</v>
      </c>
      <c r="F511">
        <f t="shared" ca="1" si="30"/>
        <v>8</v>
      </c>
      <c r="G511">
        <v>60</v>
      </c>
      <c r="H511">
        <f t="shared" ca="1" si="31"/>
        <v>480</v>
      </c>
      <c r="I511" t="s">
        <v>212</v>
      </c>
      <c r="J511" t="str">
        <f ca="1">VLOOKUP(B511,Customer_Data!$A:$D,4,FALSE)</f>
        <v>Regular</v>
      </c>
    </row>
    <row r="512" spans="1:10" x14ac:dyDescent="0.35">
      <c r="A512" t="s">
        <v>759</v>
      </c>
      <c r="B512" t="str">
        <f t="shared" ca="1" si="28"/>
        <v>CUST175</v>
      </c>
      <c r="C512" s="1">
        <f t="shared" ca="1" si="29"/>
        <v>45785</v>
      </c>
      <c r="D512" t="s">
        <v>1251</v>
      </c>
      <c r="E512" t="s">
        <v>1256</v>
      </c>
      <c r="F512">
        <f t="shared" ca="1" si="30"/>
        <v>9</v>
      </c>
      <c r="G512">
        <v>80</v>
      </c>
      <c r="H512">
        <f t="shared" ca="1" si="31"/>
        <v>720</v>
      </c>
      <c r="I512" t="s">
        <v>211</v>
      </c>
      <c r="J512" t="str">
        <f ca="1">VLOOKUP(B512,Customer_Data!$A:$D,4,FALSE)</f>
        <v>Silver</v>
      </c>
    </row>
    <row r="513" spans="1:10" x14ac:dyDescent="0.35">
      <c r="A513" t="s">
        <v>760</v>
      </c>
      <c r="B513" t="str">
        <f t="shared" ca="1" si="28"/>
        <v>CUST093</v>
      </c>
      <c r="C513" s="1">
        <f t="shared" ca="1" si="29"/>
        <v>45741</v>
      </c>
      <c r="D513" t="s">
        <v>1250</v>
      </c>
      <c r="E513" t="s">
        <v>1255</v>
      </c>
      <c r="F513">
        <f t="shared" ca="1" si="30"/>
        <v>9</v>
      </c>
      <c r="G513">
        <v>60</v>
      </c>
      <c r="H513">
        <f t="shared" ca="1" si="31"/>
        <v>540</v>
      </c>
      <c r="I513" t="s">
        <v>213</v>
      </c>
      <c r="J513" t="str">
        <f ca="1">VLOOKUP(B513,Customer_Data!$A:$D,4,FALSE)</f>
        <v>Silver</v>
      </c>
    </row>
    <row r="514" spans="1:10" x14ac:dyDescent="0.35">
      <c r="A514" t="s">
        <v>761</v>
      </c>
      <c r="B514" t="str">
        <f t="shared" ca="1" si="28"/>
        <v>CUST133</v>
      </c>
      <c r="C514" s="1">
        <f t="shared" ca="1" si="29"/>
        <v>45838</v>
      </c>
      <c r="D514" t="s">
        <v>1253</v>
      </c>
      <c r="E514" t="s">
        <v>1258</v>
      </c>
      <c r="F514">
        <f t="shared" ca="1" si="30"/>
        <v>10</v>
      </c>
      <c r="G514">
        <v>90</v>
      </c>
      <c r="H514">
        <f t="shared" ca="1" si="31"/>
        <v>900</v>
      </c>
      <c r="I514" t="s">
        <v>212</v>
      </c>
      <c r="J514" t="str">
        <f ca="1">VLOOKUP(B514,Customer_Data!$A:$D,4,FALSE)</f>
        <v>Silver</v>
      </c>
    </row>
    <row r="515" spans="1:10" x14ac:dyDescent="0.35">
      <c r="A515" t="s">
        <v>762</v>
      </c>
      <c r="B515" t="str">
        <f t="shared" ref="B515:B578" ca="1" si="32">"CUST"&amp;TEXT(RANDBETWEEN(1,200),"000")</f>
        <v>CUST137</v>
      </c>
      <c r="C515" s="1">
        <f t="shared" ref="C515:C578" ca="1" si="33">DATE(2025,1,1)+RANDBETWEEN(0,364)</f>
        <v>45957</v>
      </c>
      <c r="D515" t="s">
        <v>1253</v>
      </c>
      <c r="E515" t="s">
        <v>1258</v>
      </c>
      <c r="F515">
        <f t="shared" ref="F515:F578" ca="1" si="34">RANDBETWEEN(1,10)</f>
        <v>3</v>
      </c>
      <c r="G515">
        <v>90</v>
      </c>
      <c r="H515">
        <f t="shared" ref="H515:H578" ca="1" si="35">F515*G515</f>
        <v>270</v>
      </c>
      <c r="I515" t="s">
        <v>212</v>
      </c>
      <c r="J515" t="str">
        <f ca="1">VLOOKUP(B515,Customer_Data!$A:$D,4,FALSE)</f>
        <v>Silver</v>
      </c>
    </row>
    <row r="516" spans="1:10" x14ac:dyDescent="0.35">
      <c r="A516" t="s">
        <v>763</v>
      </c>
      <c r="B516" t="str">
        <f t="shared" ca="1" si="32"/>
        <v>CUST060</v>
      </c>
      <c r="C516" s="1">
        <f t="shared" ca="1" si="33"/>
        <v>45866</v>
      </c>
      <c r="D516" t="s">
        <v>1252</v>
      </c>
      <c r="E516" t="s">
        <v>1257</v>
      </c>
      <c r="F516">
        <f t="shared" ca="1" si="34"/>
        <v>3</v>
      </c>
      <c r="G516">
        <v>120</v>
      </c>
      <c r="H516">
        <f t="shared" ca="1" si="35"/>
        <v>360</v>
      </c>
      <c r="I516" t="s">
        <v>213</v>
      </c>
      <c r="J516" t="str">
        <f ca="1">VLOOKUP(B516,Customer_Data!$A:$D,4,FALSE)</f>
        <v>Gold</v>
      </c>
    </row>
    <row r="517" spans="1:10" x14ac:dyDescent="0.35">
      <c r="A517" t="s">
        <v>764</v>
      </c>
      <c r="B517" t="str">
        <f t="shared" ca="1" si="32"/>
        <v>CUST195</v>
      </c>
      <c r="C517" s="1">
        <f t="shared" ca="1" si="33"/>
        <v>45919</v>
      </c>
      <c r="D517" t="s">
        <v>1251</v>
      </c>
      <c r="E517" t="s">
        <v>1256</v>
      </c>
      <c r="F517">
        <f t="shared" ca="1" si="34"/>
        <v>10</v>
      </c>
      <c r="G517">
        <v>80</v>
      </c>
      <c r="H517">
        <f t="shared" ca="1" si="35"/>
        <v>800</v>
      </c>
      <c r="I517" t="s">
        <v>213</v>
      </c>
      <c r="J517" t="str">
        <f ca="1">VLOOKUP(B517,Customer_Data!$A:$D,4,FALSE)</f>
        <v>Silver</v>
      </c>
    </row>
    <row r="518" spans="1:10" x14ac:dyDescent="0.35">
      <c r="A518" t="s">
        <v>765</v>
      </c>
      <c r="B518" t="str">
        <f t="shared" ca="1" si="32"/>
        <v>CUST197</v>
      </c>
      <c r="C518" s="1">
        <f t="shared" ca="1" si="33"/>
        <v>46020</v>
      </c>
      <c r="D518" t="s">
        <v>1251</v>
      </c>
      <c r="E518" t="s">
        <v>1256</v>
      </c>
      <c r="F518">
        <f t="shared" ca="1" si="34"/>
        <v>1</v>
      </c>
      <c r="G518">
        <v>80</v>
      </c>
      <c r="H518">
        <f t="shared" ca="1" si="35"/>
        <v>80</v>
      </c>
      <c r="I518" t="s">
        <v>214</v>
      </c>
      <c r="J518" t="str">
        <f ca="1">VLOOKUP(B518,Customer_Data!$A:$D,4,FALSE)</f>
        <v>Silver</v>
      </c>
    </row>
    <row r="519" spans="1:10" x14ac:dyDescent="0.35">
      <c r="A519" t="s">
        <v>766</v>
      </c>
      <c r="B519" t="str">
        <f t="shared" ca="1" si="32"/>
        <v>CUST195</v>
      </c>
      <c r="C519" s="1">
        <f t="shared" ca="1" si="33"/>
        <v>45824</v>
      </c>
      <c r="D519" t="s">
        <v>1251</v>
      </c>
      <c r="E519" t="s">
        <v>1256</v>
      </c>
      <c r="F519">
        <f t="shared" ca="1" si="34"/>
        <v>5</v>
      </c>
      <c r="G519">
        <v>80</v>
      </c>
      <c r="H519">
        <f t="shared" ca="1" si="35"/>
        <v>400</v>
      </c>
      <c r="I519" t="s">
        <v>212</v>
      </c>
      <c r="J519" t="str">
        <f ca="1">VLOOKUP(B519,Customer_Data!$A:$D,4,FALSE)</f>
        <v>Silver</v>
      </c>
    </row>
    <row r="520" spans="1:10" x14ac:dyDescent="0.35">
      <c r="A520" t="s">
        <v>767</v>
      </c>
      <c r="B520" t="str">
        <f t="shared" ca="1" si="32"/>
        <v>CUST174</v>
      </c>
      <c r="C520" s="1">
        <f t="shared" ca="1" si="33"/>
        <v>45855</v>
      </c>
      <c r="D520" t="s">
        <v>1250</v>
      </c>
      <c r="E520" t="s">
        <v>1255</v>
      </c>
      <c r="F520">
        <f t="shared" ca="1" si="34"/>
        <v>6</v>
      </c>
      <c r="G520">
        <v>60</v>
      </c>
      <c r="H520">
        <f t="shared" ca="1" si="35"/>
        <v>360</v>
      </c>
      <c r="I520" t="s">
        <v>212</v>
      </c>
      <c r="J520" t="str">
        <f ca="1">VLOOKUP(B520,Customer_Data!$A:$D,4,FALSE)</f>
        <v>Silver</v>
      </c>
    </row>
    <row r="521" spans="1:10" x14ac:dyDescent="0.35">
      <c r="A521" t="s">
        <v>768</v>
      </c>
      <c r="B521" t="str">
        <f t="shared" ca="1" si="32"/>
        <v>CUST171</v>
      </c>
      <c r="C521" s="1">
        <f t="shared" ca="1" si="33"/>
        <v>45774</v>
      </c>
      <c r="D521" t="s">
        <v>1249</v>
      </c>
      <c r="E521" t="s">
        <v>1254</v>
      </c>
      <c r="F521">
        <f t="shared" ca="1" si="34"/>
        <v>1</v>
      </c>
      <c r="G521">
        <v>25</v>
      </c>
      <c r="H521">
        <f t="shared" ca="1" si="35"/>
        <v>25</v>
      </c>
      <c r="I521" t="s">
        <v>214</v>
      </c>
      <c r="J521" t="str">
        <f ca="1">VLOOKUP(B521,Customer_Data!$A:$D,4,FALSE)</f>
        <v>Regular</v>
      </c>
    </row>
    <row r="522" spans="1:10" x14ac:dyDescent="0.35">
      <c r="A522" t="s">
        <v>769</v>
      </c>
      <c r="B522" t="str">
        <f t="shared" ca="1" si="32"/>
        <v>CUST162</v>
      </c>
      <c r="C522" s="1">
        <f t="shared" ca="1" si="33"/>
        <v>45806</v>
      </c>
      <c r="D522" t="s">
        <v>1249</v>
      </c>
      <c r="E522" t="s">
        <v>1254</v>
      </c>
      <c r="F522">
        <f t="shared" ca="1" si="34"/>
        <v>7</v>
      </c>
      <c r="G522">
        <v>25</v>
      </c>
      <c r="H522">
        <f t="shared" ca="1" si="35"/>
        <v>175</v>
      </c>
      <c r="I522" t="s">
        <v>213</v>
      </c>
      <c r="J522" t="str">
        <f ca="1">VLOOKUP(B522,Customer_Data!$A:$D,4,FALSE)</f>
        <v>Regular</v>
      </c>
    </row>
    <row r="523" spans="1:10" x14ac:dyDescent="0.35">
      <c r="A523" t="s">
        <v>770</v>
      </c>
      <c r="B523" t="str">
        <f t="shared" ca="1" si="32"/>
        <v>CUST090</v>
      </c>
      <c r="C523" s="1">
        <f t="shared" ca="1" si="33"/>
        <v>45720</v>
      </c>
      <c r="D523" t="s">
        <v>1252</v>
      </c>
      <c r="E523" t="s">
        <v>1257</v>
      </c>
      <c r="F523">
        <f t="shared" ca="1" si="34"/>
        <v>1</v>
      </c>
      <c r="G523">
        <v>120</v>
      </c>
      <c r="H523">
        <f t="shared" ca="1" si="35"/>
        <v>120</v>
      </c>
      <c r="I523" t="s">
        <v>213</v>
      </c>
      <c r="J523" t="str">
        <f ca="1">VLOOKUP(B523,Customer_Data!$A:$D,4,FALSE)</f>
        <v>Regular</v>
      </c>
    </row>
    <row r="524" spans="1:10" x14ac:dyDescent="0.35">
      <c r="A524" t="s">
        <v>771</v>
      </c>
      <c r="B524" t="str">
        <f t="shared" ca="1" si="32"/>
        <v>CUST198</v>
      </c>
      <c r="C524" s="1">
        <f t="shared" ca="1" si="33"/>
        <v>45852</v>
      </c>
      <c r="D524" t="s">
        <v>1250</v>
      </c>
      <c r="E524" t="s">
        <v>1255</v>
      </c>
      <c r="F524">
        <f t="shared" ca="1" si="34"/>
        <v>6</v>
      </c>
      <c r="G524">
        <v>60</v>
      </c>
      <c r="H524">
        <f t="shared" ca="1" si="35"/>
        <v>360</v>
      </c>
      <c r="I524" t="s">
        <v>211</v>
      </c>
      <c r="J524" t="str">
        <f ca="1">VLOOKUP(B524,Customer_Data!$A:$D,4,FALSE)</f>
        <v>Gold</v>
      </c>
    </row>
    <row r="525" spans="1:10" x14ac:dyDescent="0.35">
      <c r="A525" t="s">
        <v>772</v>
      </c>
      <c r="B525" t="str">
        <f t="shared" ca="1" si="32"/>
        <v>CUST169</v>
      </c>
      <c r="C525" s="1">
        <f t="shared" ca="1" si="33"/>
        <v>45763</v>
      </c>
      <c r="D525" t="s">
        <v>1252</v>
      </c>
      <c r="E525" t="s">
        <v>1257</v>
      </c>
      <c r="F525">
        <f t="shared" ca="1" si="34"/>
        <v>5</v>
      </c>
      <c r="G525">
        <v>120</v>
      </c>
      <c r="H525">
        <f t="shared" ca="1" si="35"/>
        <v>600</v>
      </c>
      <c r="I525" t="s">
        <v>212</v>
      </c>
      <c r="J525" t="str">
        <f ca="1">VLOOKUP(B525,Customer_Data!$A:$D,4,FALSE)</f>
        <v>Regular</v>
      </c>
    </row>
    <row r="526" spans="1:10" x14ac:dyDescent="0.35">
      <c r="A526" t="s">
        <v>773</v>
      </c>
      <c r="B526" t="str">
        <f t="shared" ca="1" si="32"/>
        <v>CUST022</v>
      </c>
      <c r="C526" s="1">
        <f t="shared" ca="1" si="33"/>
        <v>45822</v>
      </c>
      <c r="D526" t="s">
        <v>1252</v>
      </c>
      <c r="E526" t="s">
        <v>1257</v>
      </c>
      <c r="F526">
        <f t="shared" ca="1" si="34"/>
        <v>2</v>
      </c>
      <c r="G526">
        <v>120</v>
      </c>
      <c r="H526">
        <f t="shared" ca="1" si="35"/>
        <v>240</v>
      </c>
      <c r="I526" t="s">
        <v>213</v>
      </c>
      <c r="J526" t="str">
        <f ca="1">VLOOKUP(B526,Customer_Data!$A:$D,4,FALSE)</f>
        <v>Regular</v>
      </c>
    </row>
    <row r="527" spans="1:10" x14ac:dyDescent="0.35">
      <c r="A527" t="s">
        <v>774</v>
      </c>
      <c r="B527" t="str">
        <f t="shared" ca="1" si="32"/>
        <v>CUST139</v>
      </c>
      <c r="C527" s="1">
        <f t="shared" ca="1" si="33"/>
        <v>45952</v>
      </c>
      <c r="D527" t="s">
        <v>1253</v>
      </c>
      <c r="E527" t="s">
        <v>1258</v>
      </c>
      <c r="F527">
        <f t="shared" ca="1" si="34"/>
        <v>5</v>
      </c>
      <c r="G527">
        <v>90</v>
      </c>
      <c r="H527">
        <f t="shared" ca="1" si="35"/>
        <v>450</v>
      </c>
      <c r="I527" t="s">
        <v>211</v>
      </c>
      <c r="J527" t="str">
        <f ca="1">VLOOKUP(B527,Customer_Data!$A:$D,4,FALSE)</f>
        <v>Gold</v>
      </c>
    </row>
    <row r="528" spans="1:10" x14ac:dyDescent="0.35">
      <c r="A528" t="s">
        <v>775</v>
      </c>
      <c r="B528" t="str">
        <f t="shared" ca="1" si="32"/>
        <v>CUST060</v>
      </c>
      <c r="C528" s="1">
        <f t="shared" ca="1" si="33"/>
        <v>45859</v>
      </c>
      <c r="D528" t="s">
        <v>1249</v>
      </c>
      <c r="E528" t="s">
        <v>1254</v>
      </c>
      <c r="F528">
        <f t="shared" ca="1" si="34"/>
        <v>9</v>
      </c>
      <c r="G528">
        <v>25</v>
      </c>
      <c r="H528">
        <f t="shared" ca="1" si="35"/>
        <v>225</v>
      </c>
      <c r="I528" t="s">
        <v>213</v>
      </c>
      <c r="J528" t="str">
        <f ca="1">VLOOKUP(B528,Customer_Data!$A:$D,4,FALSE)</f>
        <v>Gold</v>
      </c>
    </row>
    <row r="529" spans="1:10" x14ac:dyDescent="0.35">
      <c r="A529" t="s">
        <v>776</v>
      </c>
      <c r="B529" t="str">
        <f t="shared" ca="1" si="32"/>
        <v>CUST192</v>
      </c>
      <c r="C529" s="1">
        <f t="shared" ca="1" si="33"/>
        <v>45828</v>
      </c>
      <c r="D529" t="s">
        <v>1252</v>
      </c>
      <c r="E529" t="s">
        <v>1257</v>
      </c>
      <c r="F529">
        <f t="shared" ca="1" si="34"/>
        <v>3</v>
      </c>
      <c r="G529">
        <v>120</v>
      </c>
      <c r="H529">
        <f t="shared" ca="1" si="35"/>
        <v>360</v>
      </c>
      <c r="I529" t="s">
        <v>214</v>
      </c>
      <c r="J529" t="str">
        <f ca="1">VLOOKUP(B529,Customer_Data!$A:$D,4,FALSE)</f>
        <v>Regular</v>
      </c>
    </row>
    <row r="530" spans="1:10" x14ac:dyDescent="0.35">
      <c r="A530" t="s">
        <v>777</v>
      </c>
      <c r="B530" t="str">
        <f t="shared" ca="1" si="32"/>
        <v>CUST126</v>
      </c>
      <c r="C530" s="1">
        <f t="shared" ca="1" si="33"/>
        <v>45848</v>
      </c>
      <c r="D530" t="s">
        <v>1253</v>
      </c>
      <c r="E530" t="s">
        <v>1258</v>
      </c>
      <c r="F530">
        <f t="shared" ca="1" si="34"/>
        <v>8</v>
      </c>
      <c r="G530">
        <v>90</v>
      </c>
      <c r="H530">
        <f t="shared" ca="1" si="35"/>
        <v>720</v>
      </c>
      <c r="I530" t="s">
        <v>213</v>
      </c>
      <c r="J530" t="str">
        <f ca="1">VLOOKUP(B530,Customer_Data!$A:$D,4,FALSE)</f>
        <v>Regular</v>
      </c>
    </row>
    <row r="531" spans="1:10" x14ac:dyDescent="0.35">
      <c r="A531" t="s">
        <v>778</v>
      </c>
      <c r="B531" t="str">
        <f t="shared" ca="1" si="32"/>
        <v>CUST147</v>
      </c>
      <c r="C531" s="1">
        <f t="shared" ca="1" si="33"/>
        <v>45825</v>
      </c>
      <c r="D531" t="s">
        <v>1251</v>
      </c>
      <c r="E531" t="s">
        <v>1256</v>
      </c>
      <c r="F531">
        <f t="shared" ca="1" si="34"/>
        <v>6</v>
      </c>
      <c r="G531">
        <v>80</v>
      </c>
      <c r="H531">
        <f t="shared" ca="1" si="35"/>
        <v>480</v>
      </c>
      <c r="I531" t="s">
        <v>214</v>
      </c>
      <c r="J531" t="str">
        <f ca="1">VLOOKUP(B531,Customer_Data!$A:$D,4,FALSE)</f>
        <v>Regular</v>
      </c>
    </row>
    <row r="532" spans="1:10" x14ac:dyDescent="0.35">
      <c r="A532" t="s">
        <v>779</v>
      </c>
      <c r="B532" t="str">
        <f t="shared" ca="1" si="32"/>
        <v>CUST095</v>
      </c>
      <c r="C532" s="1">
        <f t="shared" ca="1" si="33"/>
        <v>45969</v>
      </c>
      <c r="D532" t="s">
        <v>1253</v>
      </c>
      <c r="E532" t="s">
        <v>1258</v>
      </c>
      <c r="F532">
        <f t="shared" ca="1" si="34"/>
        <v>5</v>
      </c>
      <c r="G532">
        <v>90</v>
      </c>
      <c r="H532">
        <f t="shared" ca="1" si="35"/>
        <v>450</v>
      </c>
      <c r="I532" t="s">
        <v>213</v>
      </c>
      <c r="J532" t="str">
        <f ca="1">VLOOKUP(B532,Customer_Data!$A:$D,4,FALSE)</f>
        <v>Silver</v>
      </c>
    </row>
    <row r="533" spans="1:10" x14ac:dyDescent="0.35">
      <c r="A533" t="s">
        <v>780</v>
      </c>
      <c r="B533" t="str">
        <f t="shared" ca="1" si="32"/>
        <v>CUST084</v>
      </c>
      <c r="C533" s="1">
        <f t="shared" ca="1" si="33"/>
        <v>45863</v>
      </c>
      <c r="D533" t="s">
        <v>1252</v>
      </c>
      <c r="E533" t="s">
        <v>1257</v>
      </c>
      <c r="F533">
        <f t="shared" ca="1" si="34"/>
        <v>7</v>
      </c>
      <c r="G533">
        <v>120</v>
      </c>
      <c r="H533">
        <f t="shared" ca="1" si="35"/>
        <v>840</v>
      </c>
      <c r="I533" t="s">
        <v>214</v>
      </c>
      <c r="J533" t="str">
        <f ca="1">VLOOKUP(B533,Customer_Data!$A:$D,4,FALSE)</f>
        <v>Regular</v>
      </c>
    </row>
    <row r="534" spans="1:10" x14ac:dyDescent="0.35">
      <c r="A534" t="s">
        <v>781</v>
      </c>
      <c r="B534" t="str">
        <f t="shared" ca="1" si="32"/>
        <v>CUST055</v>
      </c>
      <c r="C534" s="1">
        <f t="shared" ca="1" si="33"/>
        <v>46014</v>
      </c>
      <c r="D534" t="s">
        <v>1252</v>
      </c>
      <c r="E534" t="s">
        <v>1257</v>
      </c>
      <c r="F534">
        <f t="shared" ca="1" si="34"/>
        <v>5</v>
      </c>
      <c r="G534">
        <v>120</v>
      </c>
      <c r="H534">
        <f t="shared" ca="1" si="35"/>
        <v>600</v>
      </c>
      <c r="I534" t="s">
        <v>213</v>
      </c>
      <c r="J534" t="str">
        <f ca="1">VLOOKUP(B534,Customer_Data!$A:$D,4,FALSE)</f>
        <v>Silver</v>
      </c>
    </row>
    <row r="535" spans="1:10" x14ac:dyDescent="0.35">
      <c r="A535" t="s">
        <v>782</v>
      </c>
      <c r="B535" t="str">
        <f t="shared" ca="1" si="32"/>
        <v>CUST037</v>
      </c>
      <c r="C535" s="1">
        <f t="shared" ca="1" si="33"/>
        <v>45996</v>
      </c>
      <c r="D535" t="s">
        <v>1249</v>
      </c>
      <c r="E535" t="s">
        <v>1254</v>
      </c>
      <c r="F535">
        <f t="shared" ca="1" si="34"/>
        <v>10</v>
      </c>
      <c r="G535">
        <v>25</v>
      </c>
      <c r="H535">
        <f t="shared" ca="1" si="35"/>
        <v>250</v>
      </c>
      <c r="I535" t="s">
        <v>211</v>
      </c>
      <c r="J535" t="str">
        <f ca="1">VLOOKUP(B535,Customer_Data!$A:$D,4,FALSE)</f>
        <v>Silver</v>
      </c>
    </row>
    <row r="536" spans="1:10" x14ac:dyDescent="0.35">
      <c r="A536" t="s">
        <v>783</v>
      </c>
      <c r="B536" t="str">
        <f t="shared" ca="1" si="32"/>
        <v>CUST160</v>
      </c>
      <c r="C536" s="1">
        <f t="shared" ca="1" si="33"/>
        <v>45705</v>
      </c>
      <c r="D536" t="s">
        <v>1252</v>
      </c>
      <c r="E536" t="s">
        <v>1257</v>
      </c>
      <c r="F536">
        <f t="shared" ca="1" si="34"/>
        <v>7</v>
      </c>
      <c r="G536">
        <v>120</v>
      </c>
      <c r="H536">
        <f t="shared" ca="1" si="35"/>
        <v>840</v>
      </c>
      <c r="I536" t="s">
        <v>211</v>
      </c>
      <c r="J536" t="str">
        <f ca="1">VLOOKUP(B536,Customer_Data!$A:$D,4,FALSE)</f>
        <v>Gold</v>
      </c>
    </row>
    <row r="537" spans="1:10" x14ac:dyDescent="0.35">
      <c r="A537" t="s">
        <v>784</v>
      </c>
      <c r="B537" t="str">
        <f t="shared" ca="1" si="32"/>
        <v>CUST003</v>
      </c>
      <c r="C537" s="1">
        <f t="shared" ca="1" si="33"/>
        <v>45950</v>
      </c>
      <c r="D537" t="s">
        <v>1251</v>
      </c>
      <c r="E537" t="s">
        <v>1256</v>
      </c>
      <c r="F537">
        <f t="shared" ca="1" si="34"/>
        <v>1</v>
      </c>
      <c r="G537">
        <v>80</v>
      </c>
      <c r="H537">
        <f t="shared" ca="1" si="35"/>
        <v>80</v>
      </c>
      <c r="I537" t="s">
        <v>214</v>
      </c>
      <c r="J537" t="str">
        <f ca="1">VLOOKUP(B537,Customer_Data!$A:$D,4,FALSE)</f>
        <v>Regular</v>
      </c>
    </row>
    <row r="538" spans="1:10" x14ac:dyDescent="0.35">
      <c r="A538" t="s">
        <v>785</v>
      </c>
      <c r="B538" t="str">
        <f t="shared" ca="1" si="32"/>
        <v>CUST038</v>
      </c>
      <c r="C538" s="1">
        <f t="shared" ca="1" si="33"/>
        <v>45884</v>
      </c>
      <c r="D538" t="s">
        <v>1249</v>
      </c>
      <c r="E538" t="s">
        <v>1254</v>
      </c>
      <c r="F538">
        <f t="shared" ca="1" si="34"/>
        <v>9</v>
      </c>
      <c r="G538">
        <v>25</v>
      </c>
      <c r="H538">
        <f t="shared" ca="1" si="35"/>
        <v>225</v>
      </c>
      <c r="I538" t="s">
        <v>212</v>
      </c>
      <c r="J538" t="str">
        <f ca="1">VLOOKUP(B538,Customer_Data!$A:$D,4,FALSE)</f>
        <v>Gold</v>
      </c>
    </row>
    <row r="539" spans="1:10" x14ac:dyDescent="0.35">
      <c r="A539" t="s">
        <v>786</v>
      </c>
      <c r="B539" t="str">
        <f t="shared" ca="1" si="32"/>
        <v>CUST133</v>
      </c>
      <c r="C539" s="1">
        <f t="shared" ca="1" si="33"/>
        <v>45758</v>
      </c>
      <c r="D539" t="s">
        <v>1253</v>
      </c>
      <c r="E539" t="s">
        <v>1258</v>
      </c>
      <c r="F539">
        <f t="shared" ca="1" si="34"/>
        <v>3</v>
      </c>
      <c r="G539">
        <v>90</v>
      </c>
      <c r="H539">
        <f t="shared" ca="1" si="35"/>
        <v>270</v>
      </c>
      <c r="I539" t="s">
        <v>213</v>
      </c>
      <c r="J539" t="str">
        <f ca="1">VLOOKUP(B539,Customer_Data!$A:$D,4,FALSE)</f>
        <v>Silver</v>
      </c>
    </row>
    <row r="540" spans="1:10" x14ac:dyDescent="0.35">
      <c r="A540" t="s">
        <v>787</v>
      </c>
      <c r="B540" t="str">
        <f t="shared" ca="1" si="32"/>
        <v>CUST076</v>
      </c>
      <c r="C540" s="1">
        <f t="shared" ca="1" si="33"/>
        <v>45687</v>
      </c>
      <c r="D540" t="s">
        <v>1252</v>
      </c>
      <c r="E540" t="s">
        <v>1257</v>
      </c>
      <c r="F540">
        <f t="shared" ca="1" si="34"/>
        <v>9</v>
      </c>
      <c r="G540">
        <v>120</v>
      </c>
      <c r="H540">
        <f t="shared" ca="1" si="35"/>
        <v>1080</v>
      </c>
      <c r="I540" t="s">
        <v>214</v>
      </c>
      <c r="J540" t="str">
        <f ca="1">VLOOKUP(B540,Customer_Data!$A:$D,4,FALSE)</f>
        <v>Silver</v>
      </c>
    </row>
    <row r="541" spans="1:10" x14ac:dyDescent="0.35">
      <c r="A541" t="s">
        <v>788</v>
      </c>
      <c r="B541" t="str">
        <f t="shared" ca="1" si="32"/>
        <v>CUST180</v>
      </c>
      <c r="C541" s="1">
        <f t="shared" ca="1" si="33"/>
        <v>46022</v>
      </c>
      <c r="D541" t="s">
        <v>1250</v>
      </c>
      <c r="E541" t="s">
        <v>1255</v>
      </c>
      <c r="F541">
        <f t="shared" ca="1" si="34"/>
        <v>7</v>
      </c>
      <c r="G541">
        <v>60</v>
      </c>
      <c r="H541">
        <f t="shared" ca="1" si="35"/>
        <v>420</v>
      </c>
      <c r="I541" t="s">
        <v>213</v>
      </c>
      <c r="J541" t="str">
        <f ca="1">VLOOKUP(B541,Customer_Data!$A:$D,4,FALSE)</f>
        <v>Gold</v>
      </c>
    </row>
    <row r="542" spans="1:10" x14ac:dyDescent="0.35">
      <c r="A542" t="s">
        <v>789</v>
      </c>
      <c r="B542" t="str">
        <f t="shared" ca="1" si="32"/>
        <v>CUST157</v>
      </c>
      <c r="C542" s="1">
        <f t="shared" ca="1" si="33"/>
        <v>45959</v>
      </c>
      <c r="D542" t="s">
        <v>1252</v>
      </c>
      <c r="E542" t="s">
        <v>1257</v>
      </c>
      <c r="F542">
        <f t="shared" ca="1" si="34"/>
        <v>10</v>
      </c>
      <c r="G542">
        <v>120</v>
      </c>
      <c r="H542">
        <f t="shared" ca="1" si="35"/>
        <v>1200</v>
      </c>
      <c r="I542" t="s">
        <v>214</v>
      </c>
      <c r="J542" t="str">
        <f ca="1">VLOOKUP(B542,Customer_Data!$A:$D,4,FALSE)</f>
        <v>Silver</v>
      </c>
    </row>
    <row r="543" spans="1:10" x14ac:dyDescent="0.35">
      <c r="A543" t="s">
        <v>790</v>
      </c>
      <c r="B543" t="str">
        <f t="shared" ca="1" si="32"/>
        <v>CUST040</v>
      </c>
      <c r="C543" s="1">
        <f t="shared" ca="1" si="33"/>
        <v>45869</v>
      </c>
      <c r="D543" t="s">
        <v>1252</v>
      </c>
      <c r="E543" t="s">
        <v>1257</v>
      </c>
      <c r="F543">
        <f t="shared" ca="1" si="34"/>
        <v>3</v>
      </c>
      <c r="G543">
        <v>120</v>
      </c>
      <c r="H543">
        <f t="shared" ca="1" si="35"/>
        <v>360</v>
      </c>
      <c r="I543" t="s">
        <v>212</v>
      </c>
      <c r="J543" t="str">
        <f ca="1">VLOOKUP(B543,Customer_Data!$A:$D,4,FALSE)</f>
        <v>Gold</v>
      </c>
    </row>
    <row r="544" spans="1:10" x14ac:dyDescent="0.35">
      <c r="A544" t="s">
        <v>791</v>
      </c>
      <c r="B544" t="str">
        <f t="shared" ca="1" si="32"/>
        <v>CUST085</v>
      </c>
      <c r="C544" s="1">
        <f t="shared" ca="1" si="33"/>
        <v>45848</v>
      </c>
      <c r="D544" t="s">
        <v>1249</v>
      </c>
      <c r="E544" t="s">
        <v>1254</v>
      </c>
      <c r="F544">
        <f t="shared" ca="1" si="34"/>
        <v>5</v>
      </c>
      <c r="G544">
        <v>25</v>
      </c>
      <c r="H544">
        <f t="shared" ca="1" si="35"/>
        <v>125</v>
      </c>
      <c r="I544" t="s">
        <v>213</v>
      </c>
      <c r="J544" t="str">
        <f ca="1">VLOOKUP(B544,Customer_Data!$A:$D,4,FALSE)</f>
        <v>Regular</v>
      </c>
    </row>
    <row r="545" spans="1:10" x14ac:dyDescent="0.35">
      <c r="A545" t="s">
        <v>792</v>
      </c>
      <c r="B545" t="str">
        <f t="shared" ca="1" si="32"/>
        <v>CUST086</v>
      </c>
      <c r="C545" s="1">
        <f t="shared" ca="1" si="33"/>
        <v>45824</v>
      </c>
      <c r="D545" t="s">
        <v>1250</v>
      </c>
      <c r="E545" t="s">
        <v>1255</v>
      </c>
      <c r="F545">
        <f t="shared" ca="1" si="34"/>
        <v>4</v>
      </c>
      <c r="G545">
        <v>60</v>
      </c>
      <c r="H545">
        <f t="shared" ca="1" si="35"/>
        <v>240</v>
      </c>
      <c r="I545" t="s">
        <v>212</v>
      </c>
      <c r="J545" t="str">
        <f ca="1">VLOOKUP(B545,Customer_Data!$A:$D,4,FALSE)</f>
        <v>Regular</v>
      </c>
    </row>
    <row r="546" spans="1:10" x14ac:dyDescent="0.35">
      <c r="A546" t="s">
        <v>793</v>
      </c>
      <c r="B546" t="str">
        <f t="shared" ca="1" si="32"/>
        <v>CUST138</v>
      </c>
      <c r="C546" s="1">
        <f t="shared" ca="1" si="33"/>
        <v>46000</v>
      </c>
      <c r="D546" t="s">
        <v>1249</v>
      </c>
      <c r="E546" t="s">
        <v>1254</v>
      </c>
      <c r="F546">
        <f t="shared" ca="1" si="34"/>
        <v>6</v>
      </c>
      <c r="G546">
        <v>25</v>
      </c>
      <c r="H546">
        <f t="shared" ca="1" si="35"/>
        <v>150</v>
      </c>
      <c r="I546" t="s">
        <v>211</v>
      </c>
      <c r="J546" t="str">
        <f ca="1">VLOOKUP(B546,Customer_Data!$A:$D,4,FALSE)</f>
        <v>Gold</v>
      </c>
    </row>
    <row r="547" spans="1:10" x14ac:dyDescent="0.35">
      <c r="A547" t="s">
        <v>794</v>
      </c>
      <c r="B547" t="str">
        <f t="shared" ca="1" si="32"/>
        <v>CUST044</v>
      </c>
      <c r="C547" s="1">
        <f t="shared" ca="1" si="33"/>
        <v>45783</v>
      </c>
      <c r="D547" t="s">
        <v>1249</v>
      </c>
      <c r="E547" t="s">
        <v>1254</v>
      </c>
      <c r="F547">
        <f t="shared" ca="1" si="34"/>
        <v>5</v>
      </c>
      <c r="G547">
        <v>25</v>
      </c>
      <c r="H547">
        <f t="shared" ca="1" si="35"/>
        <v>125</v>
      </c>
      <c r="I547" t="s">
        <v>212</v>
      </c>
      <c r="J547" t="str">
        <f ca="1">VLOOKUP(B547,Customer_Data!$A:$D,4,FALSE)</f>
        <v>Regular</v>
      </c>
    </row>
    <row r="548" spans="1:10" x14ac:dyDescent="0.35">
      <c r="A548" t="s">
        <v>795</v>
      </c>
      <c r="B548" t="str">
        <f t="shared" ca="1" si="32"/>
        <v>CUST176</v>
      </c>
      <c r="C548" s="1">
        <f t="shared" ca="1" si="33"/>
        <v>45937</v>
      </c>
      <c r="D548" t="s">
        <v>1252</v>
      </c>
      <c r="E548" t="s">
        <v>1257</v>
      </c>
      <c r="F548">
        <f t="shared" ca="1" si="34"/>
        <v>9</v>
      </c>
      <c r="G548">
        <v>120</v>
      </c>
      <c r="H548">
        <f t="shared" ca="1" si="35"/>
        <v>1080</v>
      </c>
      <c r="I548" t="s">
        <v>212</v>
      </c>
      <c r="J548" t="str">
        <f ca="1">VLOOKUP(B548,Customer_Data!$A:$D,4,FALSE)</f>
        <v>Silver</v>
      </c>
    </row>
    <row r="549" spans="1:10" x14ac:dyDescent="0.35">
      <c r="A549" t="s">
        <v>796</v>
      </c>
      <c r="B549" t="str">
        <f t="shared" ca="1" si="32"/>
        <v>CUST044</v>
      </c>
      <c r="C549" s="1">
        <f t="shared" ca="1" si="33"/>
        <v>46005</v>
      </c>
      <c r="D549" t="s">
        <v>1250</v>
      </c>
      <c r="E549" t="s">
        <v>1255</v>
      </c>
      <c r="F549">
        <f t="shared" ca="1" si="34"/>
        <v>4</v>
      </c>
      <c r="G549">
        <v>60</v>
      </c>
      <c r="H549">
        <f t="shared" ca="1" si="35"/>
        <v>240</v>
      </c>
      <c r="I549" t="s">
        <v>214</v>
      </c>
      <c r="J549" t="str">
        <f ca="1">VLOOKUP(B549,Customer_Data!$A:$D,4,FALSE)</f>
        <v>Regular</v>
      </c>
    </row>
    <row r="550" spans="1:10" x14ac:dyDescent="0.35">
      <c r="A550" t="s">
        <v>797</v>
      </c>
      <c r="B550" t="str">
        <f t="shared" ca="1" si="32"/>
        <v>CUST143</v>
      </c>
      <c r="C550" s="1">
        <f t="shared" ca="1" si="33"/>
        <v>45854</v>
      </c>
      <c r="D550" t="s">
        <v>1253</v>
      </c>
      <c r="E550" t="s">
        <v>1258</v>
      </c>
      <c r="F550">
        <f t="shared" ca="1" si="34"/>
        <v>3</v>
      </c>
      <c r="G550">
        <v>90</v>
      </c>
      <c r="H550">
        <f t="shared" ca="1" si="35"/>
        <v>270</v>
      </c>
      <c r="I550" t="s">
        <v>212</v>
      </c>
      <c r="J550" t="str">
        <f ca="1">VLOOKUP(B550,Customer_Data!$A:$D,4,FALSE)</f>
        <v>Regular</v>
      </c>
    </row>
    <row r="551" spans="1:10" x14ac:dyDescent="0.35">
      <c r="A551" t="s">
        <v>798</v>
      </c>
      <c r="B551" t="str">
        <f t="shared" ca="1" si="32"/>
        <v>CUST016</v>
      </c>
      <c r="C551" s="1">
        <f t="shared" ca="1" si="33"/>
        <v>45958</v>
      </c>
      <c r="D551" t="s">
        <v>1253</v>
      </c>
      <c r="E551" t="s">
        <v>1258</v>
      </c>
      <c r="F551">
        <f t="shared" ca="1" si="34"/>
        <v>10</v>
      </c>
      <c r="G551">
        <v>90</v>
      </c>
      <c r="H551">
        <f t="shared" ca="1" si="35"/>
        <v>900</v>
      </c>
      <c r="I551" t="s">
        <v>213</v>
      </c>
      <c r="J551" t="str">
        <f ca="1">VLOOKUP(B551,Customer_Data!$A:$D,4,FALSE)</f>
        <v>Silver</v>
      </c>
    </row>
    <row r="552" spans="1:10" x14ac:dyDescent="0.35">
      <c r="A552" t="s">
        <v>799</v>
      </c>
      <c r="B552" t="str">
        <f t="shared" ca="1" si="32"/>
        <v>CUST027</v>
      </c>
      <c r="C552" s="1">
        <f t="shared" ca="1" si="33"/>
        <v>45890</v>
      </c>
      <c r="D552" t="s">
        <v>1250</v>
      </c>
      <c r="E552" t="s">
        <v>1255</v>
      </c>
      <c r="F552">
        <f t="shared" ca="1" si="34"/>
        <v>8</v>
      </c>
      <c r="G552">
        <v>60</v>
      </c>
      <c r="H552">
        <f t="shared" ca="1" si="35"/>
        <v>480</v>
      </c>
      <c r="I552" t="s">
        <v>213</v>
      </c>
      <c r="J552" t="str">
        <f ca="1">VLOOKUP(B552,Customer_Data!$A:$D,4,FALSE)</f>
        <v>Regular</v>
      </c>
    </row>
    <row r="553" spans="1:10" x14ac:dyDescent="0.35">
      <c r="A553" t="s">
        <v>800</v>
      </c>
      <c r="B553" t="str">
        <f t="shared" ca="1" si="32"/>
        <v>CUST075</v>
      </c>
      <c r="C553" s="1">
        <f t="shared" ca="1" si="33"/>
        <v>45906</v>
      </c>
      <c r="D553" t="s">
        <v>1251</v>
      </c>
      <c r="E553" t="s">
        <v>1256</v>
      </c>
      <c r="F553">
        <f t="shared" ca="1" si="34"/>
        <v>4</v>
      </c>
      <c r="G553">
        <v>80</v>
      </c>
      <c r="H553">
        <f t="shared" ca="1" si="35"/>
        <v>320</v>
      </c>
      <c r="I553" t="s">
        <v>214</v>
      </c>
      <c r="J553" t="str">
        <f ca="1">VLOOKUP(B553,Customer_Data!$A:$D,4,FALSE)</f>
        <v>Silver</v>
      </c>
    </row>
    <row r="554" spans="1:10" x14ac:dyDescent="0.35">
      <c r="A554" t="s">
        <v>801</v>
      </c>
      <c r="B554" t="str">
        <f t="shared" ca="1" si="32"/>
        <v>CUST188</v>
      </c>
      <c r="C554" s="1">
        <f t="shared" ca="1" si="33"/>
        <v>45863</v>
      </c>
      <c r="D554" t="s">
        <v>1250</v>
      </c>
      <c r="E554" t="s">
        <v>1255</v>
      </c>
      <c r="F554">
        <f t="shared" ca="1" si="34"/>
        <v>4</v>
      </c>
      <c r="G554">
        <v>60</v>
      </c>
      <c r="H554">
        <f t="shared" ca="1" si="35"/>
        <v>240</v>
      </c>
      <c r="I554" t="s">
        <v>213</v>
      </c>
      <c r="J554" t="str">
        <f ca="1">VLOOKUP(B554,Customer_Data!$A:$D,4,FALSE)</f>
        <v>Regular</v>
      </c>
    </row>
    <row r="555" spans="1:10" x14ac:dyDescent="0.35">
      <c r="A555" t="s">
        <v>802</v>
      </c>
      <c r="B555" t="str">
        <f t="shared" ca="1" si="32"/>
        <v>CUST146</v>
      </c>
      <c r="C555" s="1">
        <f t="shared" ca="1" si="33"/>
        <v>45901</v>
      </c>
      <c r="D555" t="s">
        <v>1249</v>
      </c>
      <c r="E555" t="s">
        <v>1254</v>
      </c>
      <c r="F555">
        <f t="shared" ca="1" si="34"/>
        <v>2</v>
      </c>
      <c r="G555">
        <v>25</v>
      </c>
      <c r="H555">
        <f t="shared" ca="1" si="35"/>
        <v>50</v>
      </c>
      <c r="I555" t="s">
        <v>213</v>
      </c>
      <c r="J555" t="str">
        <f ca="1">VLOOKUP(B555,Customer_Data!$A:$D,4,FALSE)</f>
        <v>Regular</v>
      </c>
    </row>
    <row r="556" spans="1:10" x14ac:dyDescent="0.35">
      <c r="A556" t="s">
        <v>803</v>
      </c>
      <c r="B556" t="str">
        <f t="shared" ca="1" si="32"/>
        <v>CUST173</v>
      </c>
      <c r="C556" s="1">
        <f t="shared" ca="1" si="33"/>
        <v>45781</v>
      </c>
      <c r="D556" t="s">
        <v>1252</v>
      </c>
      <c r="E556" t="s">
        <v>1257</v>
      </c>
      <c r="F556">
        <f t="shared" ca="1" si="34"/>
        <v>5</v>
      </c>
      <c r="G556">
        <v>120</v>
      </c>
      <c r="H556">
        <f t="shared" ca="1" si="35"/>
        <v>600</v>
      </c>
      <c r="I556" t="s">
        <v>213</v>
      </c>
      <c r="J556" t="str">
        <f ca="1">VLOOKUP(B556,Customer_Data!$A:$D,4,FALSE)</f>
        <v>Silver</v>
      </c>
    </row>
    <row r="557" spans="1:10" x14ac:dyDescent="0.35">
      <c r="A557" t="s">
        <v>804</v>
      </c>
      <c r="B557" t="str">
        <f t="shared" ca="1" si="32"/>
        <v>CUST146</v>
      </c>
      <c r="C557" s="1">
        <f t="shared" ca="1" si="33"/>
        <v>45837</v>
      </c>
      <c r="D557" t="s">
        <v>1252</v>
      </c>
      <c r="E557" t="s">
        <v>1257</v>
      </c>
      <c r="F557">
        <f t="shared" ca="1" si="34"/>
        <v>9</v>
      </c>
      <c r="G557">
        <v>120</v>
      </c>
      <c r="H557">
        <f t="shared" ca="1" si="35"/>
        <v>1080</v>
      </c>
      <c r="I557" t="s">
        <v>214</v>
      </c>
      <c r="J557" t="str">
        <f ca="1">VLOOKUP(B557,Customer_Data!$A:$D,4,FALSE)</f>
        <v>Regular</v>
      </c>
    </row>
    <row r="558" spans="1:10" x14ac:dyDescent="0.35">
      <c r="A558" t="s">
        <v>805</v>
      </c>
      <c r="B558" t="str">
        <f t="shared" ca="1" si="32"/>
        <v>CUST195</v>
      </c>
      <c r="C558" s="1">
        <f t="shared" ca="1" si="33"/>
        <v>45959</v>
      </c>
      <c r="D558" t="s">
        <v>1252</v>
      </c>
      <c r="E558" t="s">
        <v>1257</v>
      </c>
      <c r="F558">
        <f t="shared" ca="1" si="34"/>
        <v>10</v>
      </c>
      <c r="G558">
        <v>120</v>
      </c>
      <c r="H558">
        <f t="shared" ca="1" si="35"/>
        <v>1200</v>
      </c>
      <c r="I558" t="s">
        <v>213</v>
      </c>
      <c r="J558" t="str">
        <f ca="1">VLOOKUP(B558,Customer_Data!$A:$D,4,FALSE)</f>
        <v>Silver</v>
      </c>
    </row>
    <row r="559" spans="1:10" x14ac:dyDescent="0.35">
      <c r="A559" t="s">
        <v>806</v>
      </c>
      <c r="B559" t="str">
        <f t="shared" ca="1" si="32"/>
        <v>CUST067</v>
      </c>
      <c r="C559" s="1">
        <f t="shared" ca="1" si="33"/>
        <v>45736</v>
      </c>
      <c r="D559" t="s">
        <v>1249</v>
      </c>
      <c r="E559" t="s">
        <v>1254</v>
      </c>
      <c r="F559">
        <f t="shared" ca="1" si="34"/>
        <v>10</v>
      </c>
      <c r="G559">
        <v>25</v>
      </c>
      <c r="H559">
        <f t="shared" ca="1" si="35"/>
        <v>250</v>
      </c>
      <c r="I559" t="s">
        <v>213</v>
      </c>
      <c r="J559" t="str">
        <f ca="1">VLOOKUP(B559,Customer_Data!$A:$D,4,FALSE)</f>
        <v>Regular</v>
      </c>
    </row>
    <row r="560" spans="1:10" x14ac:dyDescent="0.35">
      <c r="A560" t="s">
        <v>807</v>
      </c>
      <c r="B560" t="str">
        <f t="shared" ca="1" si="32"/>
        <v>CUST140</v>
      </c>
      <c r="C560" s="1">
        <f t="shared" ca="1" si="33"/>
        <v>45694</v>
      </c>
      <c r="D560" t="s">
        <v>1253</v>
      </c>
      <c r="E560" t="s">
        <v>1258</v>
      </c>
      <c r="F560">
        <f t="shared" ca="1" si="34"/>
        <v>3</v>
      </c>
      <c r="G560">
        <v>90</v>
      </c>
      <c r="H560">
        <f t="shared" ca="1" si="35"/>
        <v>270</v>
      </c>
      <c r="I560" t="s">
        <v>214</v>
      </c>
      <c r="J560" t="str">
        <f ca="1">VLOOKUP(B560,Customer_Data!$A:$D,4,FALSE)</f>
        <v>Gold</v>
      </c>
    </row>
    <row r="561" spans="1:10" x14ac:dyDescent="0.35">
      <c r="A561" t="s">
        <v>808</v>
      </c>
      <c r="B561" t="str">
        <f t="shared" ca="1" si="32"/>
        <v>CUST159</v>
      </c>
      <c r="C561" s="1">
        <f t="shared" ca="1" si="33"/>
        <v>45891</v>
      </c>
      <c r="D561" t="s">
        <v>1251</v>
      </c>
      <c r="E561" t="s">
        <v>1256</v>
      </c>
      <c r="F561">
        <f t="shared" ca="1" si="34"/>
        <v>5</v>
      </c>
      <c r="G561">
        <v>80</v>
      </c>
      <c r="H561">
        <f t="shared" ca="1" si="35"/>
        <v>400</v>
      </c>
      <c r="I561" t="s">
        <v>213</v>
      </c>
      <c r="J561" t="str">
        <f ca="1">VLOOKUP(B561,Customer_Data!$A:$D,4,FALSE)</f>
        <v>Gold</v>
      </c>
    </row>
    <row r="562" spans="1:10" x14ac:dyDescent="0.35">
      <c r="A562" t="s">
        <v>809</v>
      </c>
      <c r="B562" t="str">
        <f t="shared" ca="1" si="32"/>
        <v>CUST094</v>
      </c>
      <c r="C562" s="1">
        <f t="shared" ca="1" si="33"/>
        <v>45915</v>
      </c>
      <c r="D562" t="s">
        <v>1249</v>
      </c>
      <c r="E562" t="s">
        <v>1254</v>
      </c>
      <c r="F562">
        <f t="shared" ca="1" si="34"/>
        <v>1</v>
      </c>
      <c r="G562">
        <v>25</v>
      </c>
      <c r="H562">
        <f t="shared" ca="1" si="35"/>
        <v>25</v>
      </c>
      <c r="I562" t="s">
        <v>214</v>
      </c>
      <c r="J562" t="str">
        <f ca="1">VLOOKUP(B562,Customer_Data!$A:$D,4,FALSE)</f>
        <v>Silver</v>
      </c>
    </row>
    <row r="563" spans="1:10" x14ac:dyDescent="0.35">
      <c r="A563" t="s">
        <v>810</v>
      </c>
      <c r="B563" t="str">
        <f t="shared" ca="1" si="32"/>
        <v>CUST030</v>
      </c>
      <c r="C563" s="1">
        <f t="shared" ca="1" si="33"/>
        <v>45962</v>
      </c>
      <c r="D563" t="s">
        <v>1250</v>
      </c>
      <c r="E563" t="s">
        <v>1255</v>
      </c>
      <c r="F563">
        <f t="shared" ca="1" si="34"/>
        <v>7</v>
      </c>
      <c r="G563">
        <v>60</v>
      </c>
      <c r="H563">
        <f t="shared" ca="1" si="35"/>
        <v>420</v>
      </c>
      <c r="I563" t="s">
        <v>213</v>
      </c>
      <c r="J563" t="str">
        <f ca="1">VLOOKUP(B563,Customer_Data!$A:$D,4,FALSE)</f>
        <v>Regular</v>
      </c>
    </row>
    <row r="564" spans="1:10" x14ac:dyDescent="0.35">
      <c r="A564" t="s">
        <v>811</v>
      </c>
      <c r="B564" t="str">
        <f t="shared" ca="1" si="32"/>
        <v>CUST114</v>
      </c>
      <c r="C564" s="1">
        <f t="shared" ca="1" si="33"/>
        <v>45705</v>
      </c>
      <c r="D564" t="s">
        <v>1249</v>
      </c>
      <c r="E564" t="s">
        <v>1254</v>
      </c>
      <c r="F564">
        <f t="shared" ca="1" si="34"/>
        <v>10</v>
      </c>
      <c r="G564">
        <v>25</v>
      </c>
      <c r="H564">
        <f t="shared" ca="1" si="35"/>
        <v>250</v>
      </c>
      <c r="I564" t="s">
        <v>213</v>
      </c>
      <c r="J564" t="str">
        <f ca="1">VLOOKUP(B564,Customer_Data!$A:$D,4,FALSE)</f>
        <v>Silver</v>
      </c>
    </row>
    <row r="565" spans="1:10" x14ac:dyDescent="0.35">
      <c r="A565" t="s">
        <v>812</v>
      </c>
      <c r="B565" t="str">
        <f t="shared" ca="1" si="32"/>
        <v>CUST037</v>
      </c>
      <c r="C565" s="1">
        <f t="shared" ca="1" si="33"/>
        <v>45823</v>
      </c>
      <c r="D565" t="s">
        <v>1251</v>
      </c>
      <c r="E565" t="s">
        <v>1256</v>
      </c>
      <c r="F565">
        <f t="shared" ca="1" si="34"/>
        <v>5</v>
      </c>
      <c r="G565">
        <v>80</v>
      </c>
      <c r="H565">
        <f t="shared" ca="1" si="35"/>
        <v>400</v>
      </c>
      <c r="I565" t="s">
        <v>211</v>
      </c>
      <c r="J565" t="str">
        <f ca="1">VLOOKUP(B565,Customer_Data!$A:$D,4,FALSE)</f>
        <v>Silver</v>
      </c>
    </row>
    <row r="566" spans="1:10" x14ac:dyDescent="0.35">
      <c r="A566" t="s">
        <v>813</v>
      </c>
      <c r="B566" t="str">
        <f t="shared" ca="1" si="32"/>
        <v>CUST158</v>
      </c>
      <c r="C566" s="1">
        <f t="shared" ca="1" si="33"/>
        <v>45824</v>
      </c>
      <c r="D566" t="s">
        <v>1251</v>
      </c>
      <c r="E566" t="s">
        <v>1256</v>
      </c>
      <c r="F566">
        <f t="shared" ca="1" si="34"/>
        <v>5</v>
      </c>
      <c r="G566">
        <v>80</v>
      </c>
      <c r="H566">
        <f t="shared" ca="1" si="35"/>
        <v>400</v>
      </c>
      <c r="I566" t="s">
        <v>213</v>
      </c>
      <c r="J566" t="str">
        <f ca="1">VLOOKUP(B566,Customer_Data!$A:$D,4,FALSE)</f>
        <v>Gold</v>
      </c>
    </row>
    <row r="567" spans="1:10" x14ac:dyDescent="0.35">
      <c r="A567" t="s">
        <v>814</v>
      </c>
      <c r="B567" t="str">
        <f t="shared" ca="1" si="32"/>
        <v>CUST075</v>
      </c>
      <c r="C567" s="1">
        <f t="shared" ca="1" si="33"/>
        <v>45747</v>
      </c>
      <c r="D567" t="s">
        <v>1251</v>
      </c>
      <c r="E567" t="s">
        <v>1256</v>
      </c>
      <c r="F567">
        <f t="shared" ca="1" si="34"/>
        <v>6</v>
      </c>
      <c r="G567">
        <v>80</v>
      </c>
      <c r="H567">
        <f t="shared" ca="1" si="35"/>
        <v>480</v>
      </c>
      <c r="I567" t="s">
        <v>214</v>
      </c>
      <c r="J567" t="str">
        <f ca="1">VLOOKUP(B567,Customer_Data!$A:$D,4,FALSE)</f>
        <v>Silver</v>
      </c>
    </row>
    <row r="568" spans="1:10" x14ac:dyDescent="0.35">
      <c r="A568" t="s">
        <v>815</v>
      </c>
      <c r="B568" t="str">
        <f t="shared" ca="1" si="32"/>
        <v>CUST030</v>
      </c>
      <c r="C568" s="1">
        <f t="shared" ca="1" si="33"/>
        <v>45884</v>
      </c>
      <c r="D568" t="s">
        <v>1251</v>
      </c>
      <c r="E568" t="s">
        <v>1256</v>
      </c>
      <c r="F568">
        <f t="shared" ca="1" si="34"/>
        <v>7</v>
      </c>
      <c r="G568">
        <v>80</v>
      </c>
      <c r="H568">
        <f t="shared" ca="1" si="35"/>
        <v>560</v>
      </c>
      <c r="I568" t="s">
        <v>213</v>
      </c>
      <c r="J568" t="str">
        <f ca="1">VLOOKUP(B568,Customer_Data!$A:$D,4,FALSE)</f>
        <v>Regular</v>
      </c>
    </row>
    <row r="569" spans="1:10" x14ac:dyDescent="0.35">
      <c r="A569" t="s">
        <v>816</v>
      </c>
      <c r="B569" t="str">
        <f t="shared" ca="1" si="32"/>
        <v>CUST066</v>
      </c>
      <c r="C569" s="1">
        <f t="shared" ca="1" si="33"/>
        <v>45680</v>
      </c>
      <c r="D569" t="s">
        <v>1252</v>
      </c>
      <c r="E569" t="s">
        <v>1257</v>
      </c>
      <c r="F569">
        <f t="shared" ca="1" si="34"/>
        <v>8</v>
      </c>
      <c r="G569">
        <v>120</v>
      </c>
      <c r="H569">
        <f t="shared" ca="1" si="35"/>
        <v>960</v>
      </c>
      <c r="I569" t="s">
        <v>214</v>
      </c>
      <c r="J569" t="str">
        <f ca="1">VLOOKUP(B569,Customer_Data!$A:$D,4,FALSE)</f>
        <v>Regular</v>
      </c>
    </row>
    <row r="570" spans="1:10" x14ac:dyDescent="0.35">
      <c r="A570" t="s">
        <v>817</v>
      </c>
      <c r="B570" t="str">
        <f t="shared" ca="1" si="32"/>
        <v>CUST175</v>
      </c>
      <c r="C570" s="1">
        <f t="shared" ca="1" si="33"/>
        <v>45864</v>
      </c>
      <c r="D570" t="s">
        <v>1250</v>
      </c>
      <c r="E570" t="s">
        <v>1255</v>
      </c>
      <c r="F570">
        <f t="shared" ca="1" si="34"/>
        <v>7</v>
      </c>
      <c r="G570">
        <v>60</v>
      </c>
      <c r="H570">
        <f t="shared" ca="1" si="35"/>
        <v>420</v>
      </c>
      <c r="I570" t="s">
        <v>211</v>
      </c>
      <c r="J570" t="str">
        <f ca="1">VLOOKUP(B570,Customer_Data!$A:$D,4,FALSE)</f>
        <v>Silver</v>
      </c>
    </row>
    <row r="571" spans="1:10" x14ac:dyDescent="0.35">
      <c r="A571" t="s">
        <v>818</v>
      </c>
      <c r="B571" t="str">
        <f t="shared" ca="1" si="32"/>
        <v>CUST053</v>
      </c>
      <c r="C571" s="1">
        <f t="shared" ca="1" si="33"/>
        <v>45796</v>
      </c>
      <c r="D571" t="s">
        <v>1250</v>
      </c>
      <c r="E571" t="s">
        <v>1255</v>
      </c>
      <c r="F571">
        <f t="shared" ca="1" si="34"/>
        <v>1</v>
      </c>
      <c r="G571">
        <v>60</v>
      </c>
      <c r="H571">
        <f t="shared" ca="1" si="35"/>
        <v>60</v>
      </c>
      <c r="I571" t="s">
        <v>213</v>
      </c>
      <c r="J571" t="str">
        <f ca="1">VLOOKUP(B571,Customer_Data!$A:$D,4,FALSE)</f>
        <v>Silver</v>
      </c>
    </row>
    <row r="572" spans="1:10" x14ac:dyDescent="0.35">
      <c r="A572" t="s">
        <v>819</v>
      </c>
      <c r="B572" t="str">
        <f t="shared" ca="1" si="32"/>
        <v>CUST139</v>
      </c>
      <c r="C572" s="1">
        <f t="shared" ca="1" si="33"/>
        <v>46017</v>
      </c>
      <c r="D572" t="s">
        <v>1250</v>
      </c>
      <c r="E572" t="s">
        <v>1255</v>
      </c>
      <c r="F572">
        <f t="shared" ca="1" si="34"/>
        <v>6</v>
      </c>
      <c r="G572">
        <v>60</v>
      </c>
      <c r="H572">
        <f t="shared" ca="1" si="35"/>
        <v>360</v>
      </c>
      <c r="I572" t="s">
        <v>214</v>
      </c>
      <c r="J572" t="str">
        <f ca="1">VLOOKUP(B572,Customer_Data!$A:$D,4,FALSE)</f>
        <v>Gold</v>
      </c>
    </row>
    <row r="573" spans="1:10" x14ac:dyDescent="0.35">
      <c r="A573" t="s">
        <v>820</v>
      </c>
      <c r="B573" t="str">
        <f t="shared" ca="1" si="32"/>
        <v>CUST009</v>
      </c>
      <c r="C573" s="1">
        <f t="shared" ca="1" si="33"/>
        <v>45914</v>
      </c>
      <c r="D573" t="s">
        <v>1249</v>
      </c>
      <c r="E573" t="s">
        <v>1254</v>
      </c>
      <c r="F573">
        <f t="shared" ca="1" si="34"/>
        <v>5</v>
      </c>
      <c r="G573">
        <v>25</v>
      </c>
      <c r="H573">
        <f t="shared" ca="1" si="35"/>
        <v>125</v>
      </c>
      <c r="I573" t="s">
        <v>211</v>
      </c>
      <c r="J573" t="str">
        <f ca="1">VLOOKUP(B573,Customer_Data!$A:$D,4,FALSE)</f>
        <v>Regular</v>
      </c>
    </row>
    <row r="574" spans="1:10" x14ac:dyDescent="0.35">
      <c r="A574" t="s">
        <v>821</v>
      </c>
      <c r="B574" t="str">
        <f t="shared" ca="1" si="32"/>
        <v>CUST130</v>
      </c>
      <c r="C574" s="1">
        <f t="shared" ca="1" si="33"/>
        <v>45986</v>
      </c>
      <c r="D574" t="s">
        <v>1250</v>
      </c>
      <c r="E574" t="s">
        <v>1255</v>
      </c>
      <c r="F574">
        <f t="shared" ca="1" si="34"/>
        <v>7</v>
      </c>
      <c r="G574">
        <v>60</v>
      </c>
      <c r="H574">
        <f t="shared" ca="1" si="35"/>
        <v>420</v>
      </c>
      <c r="I574" t="s">
        <v>212</v>
      </c>
      <c r="J574" t="str">
        <f ca="1">VLOOKUP(B574,Customer_Data!$A:$D,4,FALSE)</f>
        <v>Regular</v>
      </c>
    </row>
    <row r="575" spans="1:10" x14ac:dyDescent="0.35">
      <c r="A575" t="s">
        <v>822</v>
      </c>
      <c r="B575" t="str">
        <f t="shared" ca="1" si="32"/>
        <v>CUST116</v>
      </c>
      <c r="C575" s="1">
        <f t="shared" ca="1" si="33"/>
        <v>45684</v>
      </c>
      <c r="D575" t="s">
        <v>1251</v>
      </c>
      <c r="E575" t="s">
        <v>1256</v>
      </c>
      <c r="F575">
        <f t="shared" ca="1" si="34"/>
        <v>8</v>
      </c>
      <c r="G575">
        <v>80</v>
      </c>
      <c r="H575">
        <f t="shared" ca="1" si="35"/>
        <v>640</v>
      </c>
      <c r="I575" t="s">
        <v>214</v>
      </c>
      <c r="J575" t="str">
        <f ca="1">VLOOKUP(B575,Customer_Data!$A:$D,4,FALSE)</f>
        <v>Silver</v>
      </c>
    </row>
    <row r="576" spans="1:10" x14ac:dyDescent="0.35">
      <c r="A576" t="s">
        <v>823</v>
      </c>
      <c r="B576" t="str">
        <f t="shared" ca="1" si="32"/>
        <v>CUST119</v>
      </c>
      <c r="C576" s="1">
        <f t="shared" ca="1" si="33"/>
        <v>45716</v>
      </c>
      <c r="D576" t="s">
        <v>1253</v>
      </c>
      <c r="E576" t="s">
        <v>1258</v>
      </c>
      <c r="F576">
        <f t="shared" ca="1" si="34"/>
        <v>4</v>
      </c>
      <c r="G576">
        <v>90</v>
      </c>
      <c r="H576">
        <f t="shared" ca="1" si="35"/>
        <v>360</v>
      </c>
      <c r="I576" t="s">
        <v>213</v>
      </c>
      <c r="J576" t="str">
        <f ca="1">VLOOKUP(B576,Customer_Data!$A:$D,4,FALSE)</f>
        <v>Gold</v>
      </c>
    </row>
    <row r="577" spans="1:10" x14ac:dyDescent="0.35">
      <c r="A577" t="s">
        <v>824</v>
      </c>
      <c r="B577" t="str">
        <f t="shared" ca="1" si="32"/>
        <v>CUST012</v>
      </c>
      <c r="C577" s="1">
        <f t="shared" ca="1" si="33"/>
        <v>45816</v>
      </c>
      <c r="D577" t="s">
        <v>1253</v>
      </c>
      <c r="E577" t="s">
        <v>1258</v>
      </c>
      <c r="F577">
        <f t="shared" ca="1" si="34"/>
        <v>6</v>
      </c>
      <c r="G577">
        <v>90</v>
      </c>
      <c r="H577">
        <f t="shared" ca="1" si="35"/>
        <v>540</v>
      </c>
      <c r="I577" t="s">
        <v>214</v>
      </c>
      <c r="J577" t="str">
        <f ca="1">VLOOKUP(B577,Customer_Data!$A:$D,4,FALSE)</f>
        <v>Regular</v>
      </c>
    </row>
    <row r="578" spans="1:10" x14ac:dyDescent="0.35">
      <c r="A578" t="s">
        <v>825</v>
      </c>
      <c r="B578" t="str">
        <f t="shared" ca="1" si="32"/>
        <v>CUST126</v>
      </c>
      <c r="C578" s="1">
        <f t="shared" ca="1" si="33"/>
        <v>45793</v>
      </c>
      <c r="D578" t="s">
        <v>1251</v>
      </c>
      <c r="E578" t="s">
        <v>1256</v>
      </c>
      <c r="F578">
        <f t="shared" ca="1" si="34"/>
        <v>5</v>
      </c>
      <c r="G578">
        <v>80</v>
      </c>
      <c r="H578">
        <f t="shared" ca="1" si="35"/>
        <v>400</v>
      </c>
      <c r="I578" t="s">
        <v>214</v>
      </c>
      <c r="J578" t="str">
        <f ca="1">VLOOKUP(B578,Customer_Data!$A:$D,4,FALSE)</f>
        <v>Regular</v>
      </c>
    </row>
    <row r="579" spans="1:10" x14ac:dyDescent="0.35">
      <c r="A579" t="s">
        <v>826</v>
      </c>
      <c r="B579" t="str">
        <f t="shared" ref="B579:B642" ca="1" si="36">"CUST"&amp;TEXT(RANDBETWEEN(1,200),"000")</f>
        <v>CUST013</v>
      </c>
      <c r="C579" s="1">
        <f t="shared" ref="C579:C642" ca="1" si="37">DATE(2025,1,1)+RANDBETWEEN(0,364)</f>
        <v>45727</v>
      </c>
      <c r="D579" t="s">
        <v>1249</v>
      </c>
      <c r="E579" t="s">
        <v>1254</v>
      </c>
      <c r="F579">
        <f t="shared" ref="F579:F642" ca="1" si="38">RANDBETWEEN(1,10)</f>
        <v>3</v>
      </c>
      <c r="G579">
        <v>25</v>
      </c>
      <c r="H579">
        <f t="shared" ref="H579:H642" ca="1" si="39">F579*G579</f>
        <v>75</v>
      </c>
      <c r="I579" t="s">
        <v>213</v>
      </c>
      <c r="J579" t="str">
        <f ca="1">VLOOKUP(B579,Customer_Data!$A:$D,4,FALSE)</f>
        <v>Silver</v>
      </c>
    </row>
    <row r="580" spans="1:10" x14ac:dyDescent="0.35">
      <c r="A580" t="s">
        <v>827</v>
      </c>
      <c r="B580" t="str">
        <f t="shared" ca="1" si="36"/>
        <v>CUST136</v>
      </c>
      <c r="C580" s="1">
        <f t="shared" ca="1" si="37"/>
        <v>45718</v>
      </c>
      <c r="D580" t="s">
        <v>1249</v>
      </c>
      <c r="E580" t="s">
        <v>1254</v>
      </c>
      <c r="F580">
        <f t="shared" ca="1" si="38"/>
        <v>3</v>
      </c>
      <c r="G580">
        <v>25</v>
      </c>
      <c r="H580">
        <f t="shared" ca="1" si="39"/>
        <v>75</v>
      </c>
      <c r="I580" t="s">
        <v>213</v>
      </c>
      <c r="J580" t="str">
        <f ca="1">VLOOKUP(B580,Customer_Data!$A:$D,4,FALSE)</f>
        <v>Silver</v>
      </c>
    </row>
    <row r="581" spans="1:10" x14ac:dyDescent="0.35">
      <c r="A581" t="s">
        <v>828</v>
      </c>
      <c r="B581" t="str">
        <f t="shared" ca="1" si="36"/>
        <v>CUST016</v>
      </c>
      <c r="C581" s="1">
        <f t="shared" ca="1" si="37"/>
        <v>45703</v>
      </c>
      <c r="D581" t="s">
        <v>1251</v>
      </c>
      <c r="E581" t="s">
        <v>1256</v>
      </c>
      <c r="F581">
        <f t="shared" ca="1" si="38"/>
        <v>7</v>
      </c>
      <c r="G581">
        <v>80</v>
      </c>
      <c r="H581">
        <f t="shared" ca="1" si="39"/>
        <v>560</v>
      </c>
      <c r="I581" t="s">
        <v>214</v>
      </c>
      <c r="J581" t="str">
        <f ca="1">VLOOKUP(B581,Customer_Data!$A:$D,4,FALSE)</f>
        <v>Silver</v>
      </c>
    </row>
    <row r="582" spans="1:10" x14ac:dyDescent="0.35">
      <c r="A582" t="s">
        <v>829</v>
      </c>
      <c r="B582" t="str">
        <f t="shared" ca="1" si="36"/>
        <v>CUST199</v>
      </c>
      <c r="C582" s="1">
        <f t="shared" ca="1" si="37"/>
        <v>45945</v>
      </c>
      <c r="D582" t="s">
        <v>1250</v>
      </c>
      <c r="E582" t="s">
        <v>1255</v>
      </c>
      <c r="F582">
        <f t="shared" ca="1" si="38"/>
        <v>1</v>
      </c>
      <c r="G582">
        <v>60</v>
      </c>
      <c r="H582">
        <f t="shared" ca="1" si="39"/>
        <v>60</v>
      </c>
      <c r="I582" t="s">
        <v>214</v>
      </c>
      <c r="J582" t="str">
        <f ca="1">VLOOKUP(B582,Customer_Data!$A:$D,4,FALSE)</f>
        <v>Gold</v>
      </c>
    </row>
    <row r="583" spans="1:10" x14ac:dyDescent="0.35">
      <c r="A583" t="s">
        <v>830</v>
      </c>
      <c r="B583" t="str">
        <f t="shared" ca="1" si="36"/>
        <v>CUST028</v>
      </c>
      <c r="C583" s="1">
        <f t="shared" ca="1" si="37"/>
        <v>45915</v>
      </c>
      <c r="D583" t="s">
        <v>1250</v>
      </c>
      <c r="E583" t="s">
        <v>1255</v>
      </c>
      <c r="F583">
        <f t="shared" ca="1" si="38"/>
        <v>6</v>
      </c>
      <c r="G583">
        <v>60</v>
      </c>
      <c r="H583">
        <f t="shared" ca="1" si="39"/>
        <v>360</v>
      </c>
      <c r="I583" t="s">
        <v>214</v>
      </c>
      <c r="J583" t="str">
        <f ca="1">VLOOKUP(B583,Customer_Data!$A:$D,4,FALSE)</f>
        <v>Regular</v>
      </c>
    </row>
    <row r="584" spans="1:10" x14ac:dyDescent="0.35">
      <c r="A584" t="s">
        <v>831</v>
      </c>
      <c r="B584" t="str">
        <f t="shared" ca="1" si="36"/>
        <v>CUST108</v>
      </c>
      <c r="C584" s="1">
        <f t="shared" ca="1" si="37"/>
        <v>45690</v>
      </c>
      <c r="D584" t="s">
        <v>1253</v>
      </c>
      <c r="E584" t="s">
        <v>1258</v>
      </c>
      <c r="F584">
        <f t="shared" ca="1" si="38"/>
        <v>1</v>
      </c>
      <c r="G584">
        <v>90</v>
      </c>
      <c r="H584">
        <f t="shared" ca="1" si="39"/>
        <v>90</v>
      </c>
      <c r="I584" t="s">
        <v>212</v>
      </c>
      <c r="J584" t="str">
        <f ca="1">VLOOKUP(B584,Customer_Data!$A:$D,4,FALSE)</f>
        <v>Regular</v>
      </c>
    </row>
    <row r="585" spans="1:10" x14ac:dyDescent="0.35">
      <c r="A585" t="s">
        <v>832</v>
      </c>
      <c r="B585" t="str">
        <f t="shared" ca="1" si="36"/>
        <v>CUST172</v>
      </c>
      <c r="C585" s="1">
        <f t="shared" ca="1" si="37"/>
        <v>45846</v>
      </c>
      <c r="D585" t="s">
        <v>1249</v>
      </c>
      <c r="E585" t="s">
        <v>1254</v>
      </c>
      <c r="F585">
        <f t="shared" ca="1" si="38"/>
        <v>3</v>
      </c>
      <c r="G585">
        <v>25</v>
      </c>
      <c r="H585">
        <f t="shared" ca="1" si="39"/>
        <v>75</v>
      </c>
      <c r="I585" t="s">
        <v>213</v>
      </c>
      <c r="J585" t="str">
        <f ca="1">VLOOKUP(B585,Customer_Data!$A:$D,4,FALSE)</f>
        <v>Regular</v>
      </c>
    </row>
    <row r="586" spans="1:10" x14ac:dyDescent="0.35">
      <c r="A586" t="s">
        <v>833</v>
      </c>
      <c r="B586" t="str">
        <f t="shared" ca="1" si="36"/>
        <v>CUST040</v>
      </c>
      <c r="C586" s="1">
        <f t="shared" ca="1" si="37"/>
        <v>45922</v>
      </c>
      <c r="D586" t="s">
        <v>1252</v>
      </c>
      <c r="E586" t="s">
        <v>1257</v>
      </c>
      <c r="F586">
        <f t="shared" ca="1" si="38"/>
        <v>3</v>
      </c>
      <c r="G586">
        <v>120</v>
      </c>
      <c r="H586">
        <f t="shared" ca="1" si="39"/>
        <v>360</v>
      </c>
      <c r="I586" t="s">
        <v>213</v>
      </c>
      <c r="J586" t="str">
        <f ca="1">VLOOKUP(B586,Customer_Data!$A:$D,4,FALSE)</f>
        <v>Gold</v>
      </c>
    </row>
    <row r="587" spans="1:10" x14ac:dyDescent="0.35">
      <c r="A587" t="s">
        <v>834</v>
      </c>
      <c r="B587" t="str">
        <f t="shared" ca="1" si="36"/>
        <v>CUST028</v>
      </c>
      <c r="C587" s="1">
        <f t="shared" ca="1" si="37"/>
        <v>45772</v>
      </c>
      <c r="D587" t="s">
        <v>1252</v>
      </c>
      <c r="E587" t="s">
        <v>1257</v>
      </c>
      <c r="F587">
        <f t="shared" ca="1" si="38"/>
        <v>7</v>
      </c>
      <c r="G587">
        <v>120</v>
      </c>
      <c r="H587">
        <f t="shared" ca="1" si="39"/>
        <v>840</v>
      </c>
      <c r="I587" t="s">
        <v>211</v>
      </c>
      <c r="J587" t="str">
        <f ca="1">VLOOKUP(B587,Customer_Data!$A:$D,4,FALSE)</f>
        <v>Regular</v>
      </c>
    </row>
    <row r="588" spans="1:10" x14ac:dyDescent="0.35">
      <c r="A588" t="s">
        <v>835</v>
      </c>
      <c r="B588" t="str">
        <f t="shared" ca="1" si="36"/>
        <v>CUST053</v>
      </c>
      <c r="C588" s="1">
        <f t="shared" ca="1" si="37"/>
        <v>45990</v>
      </c>
      <c r="D588" t="s">
        <v>1253</v>
      </c>
      <c r="E588" t="s">
        <v>1258</v>
      </c>
      <c r="F588">
        <f t="shared" ca="1" si="38"/>
        <v>4</v>
      </c>
      <c r="G588">
        <v>90</v>
      </c>
      <c r="H588">
        <f t="shared" ca="1" si="39"/>
        <v>360</v>
      </c>
      <c r="I588" t="s">
        <v>214</v>
      </c>
      <c r="J588" t="str">
        <f ca="1">VLOOKUP(B588,Customer_Data!$A:$D,4,FALSE)</f>
        <v>Silver</v>
      </c>
    </row>
    <row r="589" spans="1:10" x14ac:dyDescent="0.35">
      <c r="A589" t="s">
        <v>836</v>
      </c>
      <c r="B589" t="str">
        <f t="shared" ca="1" si="36"/>
        <v>CUST193</v>
      </c>
      <c r="C589" s="1">
        <f t="shared" ca="1" si="37"/>
        <v>45725</v>
      </c>
      <c r="D589" t="s">
        <v>1252</v>
      </c>
      <c r="E589" t="s">
        <v>1257</v>
      </c>
      <c r="F589">
        <f t="shared" ca="1" si="38"/>
        <v>9</v>
      </c>
      <c r="G589">
        <v>120</v>
      </c>
      <c r="H589">
        <f t="shared" ca="1" si="39"/>
        <v>1080</v>
      </c>
      <c r="I589" t="s">
        <v>212</v>
      </c>
      <c r="J589" t="str">
        <f ca="1">VLOOKUP(B589,Customer_Data!$A:$D,4,FALSE)</f>
        <v>Silver</v>
      </c>
    </row>
    <row r="590" spans="1:10" x14ac:dyDescent="0.35">
      <c r="A590" t="s">
        <v>837</v>
      </c>
      <c r="B590" t="str">
        <f t="shared" ca="1" si="36"/>
        <v>CUST183</v>
      </c>
      <c r="C590" s="1">
        <f t="shared" ca="1" si="37"/>
        <v>45812</v>
      </c>
      <c r="D590" t="s">
        <v>1252</v>
      </c>
      <c r="E590" t="s">
        <v>1257</v>
      </c>
      <c r="F590">
        <f t="shared" ca="1" si="38"/>
        <v>10</v>
      </c>
      <c r="G590">
        <v>120</v>
      </c>
      <c r="H590">
        <f t="shared" ca="1" si="39"/>
        <v>1200</v>
      </c>
      <c r="I590" t="s">
        <v>214</v>
      </c>
      <c r="J590" t="str">
        <f ca="1">VLOOKUP(B590,Customer_Data!$A:$D,4,FALSE)</f>
        <v>Regular</v>
      </c>
    </row>
    <row r="591" spans="1:10" x14ac:dyDescent="0.35">
      <c r="A591" t="s">
        <v>838</v>
      </c>
      <c r="B591" t="str">
        <f t="shared" ca="1" si="36"/>
        <v>CUST172</v>
      </c>
      <c r="C591" s="1">
        <f t="shared" ca="1" si="37"/>
        <v>46015</v>
      </c>
      <c r="D591" t="s">
        <v>1251</v>
      </c>
      <c r="E591" t="s">
        <v>1256</v>
      </c>
      <c r="F591">
        <f t="shared" ca="1" si="38"/>
        <v>1</v>
      </c>
      <c r="G591">
        <v>80</v>
      </c>
      <c r="H591">
        <f t="shared" ca="1" si="39"/>
        <v>80</v>
      </c>
      <c r="I591" t="s">
        <v>212</v>
      </c>
      <c r="J591" t="str">
        <f ca="1">VLOOKUP(B591,Customer_Data!$A:$D,4,FALSE)</f>
        <v>Regular</v>
      </c>
    </row>
    <row r="592" spans="1:10" x14ac:dyDescent="0.35">
      <c r="A592" t="s">
        <v>839</v>
      </c>
      <c r="B592" t="str">
        <f t="shared" ca="1" si="36"/>
        <v>CUST102</v>
      </c>
      <c r="C592" s="1">
        <f t="shared" ca="1" si="37"/>
        <v>45971</v>
      </c>
      <c r="D592" t="s">
        <v>1253</v>
      </c>
      <c r="E592" t="s">
        <v>1258</v>
      </c>
      <c r="F592">
        <f t="shared" ca="1" si="38"/>
        <v>3</v>
      </c>
      <c r="G592">
        <v>90</v>
      </c>
      <c r="H592">
        <f t="shared" ca="1" si="39"/>
        <v>270</v>
      </c>
      <c r="I592" t="s">
        <v>214</v>
      </c>
      <c r="J592" t="str">
        <f ca="1">VLOOKUP(B592,Customer_Data!$A:$D,4,FALSE)</f>
        <v>Regular</v>
      </c>
    </row>
    <row r="593" spans="1:10" x14ac:dyDescent="0.35">
      <c r="A593" t="s">
        <v>840</v>
      </c>
      <c r="B593" t="str">
        <f t="shared" ca="1" si="36"/>
        <v>CUST009</v>
      </c>
      <c r="C593" s="1">
        <f t="shared" ca="1" si="37"/>
        <v>45821</v>
      </c>
      <c r="D593" t="s">
        <v>1252</v>
      </c>
      <c r="E593" t="s">
        <v>1257</v>
      </c>
      <c r="F593">
        <f t="shared" ca="1" si="38"/>
        <v>6</v>
      </c>
      <c r="G593">
        <v>120</v>
      </c>
      <c r="H593">
        <f t="shared" ca="1" si="39"/>
        <v>720</v>
      </c>
      <c r="I593" t="s">
        <v>212</v>
      </c>
      <c r="J593" t="str">
        <f ca="1">VLOOKUP(B593,Customer_Data!$A:$D,4,FALSE)</f>
        <v>Regular</v>
      </c>
    </row>
    <row r="594" spans="1:10" x14ac:dyDescent="0.35">
      <c r="A594" t="s">
        <v>841</v>
      </c>
      <c r="B594" t="str">
        <f t="shared" ca="1" si="36"/>
        <v>CUST033</v>
      </c>
      <c r="C594" s="1">
        <f t="shared" ca="1" si="37"/>
        <v>45800</v>
      </c>
      <c r="D594" t="s">
        <v>1253</v>
      </c>
      <c r="E594" t="s">
        <v>1258</v>
      </c>
      <c r="F594">
        <f t="shared" ca="1" si="38"/>
        <v>8</v>
      </c>
      <c r="G594">
        <v>90</v>
      </c>
      <c r="H594">
        <f t="shared" ca="1" si="39"/>
        <v>720</v>
      </c>
      <c r="I594" t="s">
        <v>212</v>
      </c>
      <c r="J594" t="str">
        <f ca="1">VLOOKUP(B594,Customer_Data!$A:$D,4,FALSE)</f>
        <v>Silver</v>
      </c>
    </row>
    <row r="595" spans="1:10" x14ac:dyDescent="0.35">
      <c r="A595" t="s">
        <v>842</v>
      </c>
      <c r="B595" t="str">
        <f t="shared" ca="1" si="36"/>
        <v>CUST120</v>
      </c>
      <c r="C595" s="1">
        <f t="shared" ca="1" si="37"/>
        <v>45729</v>
      </c>
      <c r="D595" t="s">
        <v>1249</v>
      </c>
      <c r="E595" t="s">
        <v>1254</v>
      </c>
      <c r="F595">
        <f t="shared" ca="1" si="38"/>
        <v>9</v>
      </c>
      <c r="G595">
        <v>25</v>
      </c>
      <c r="H595">
        <f t="shared" ca="1" si="39"/>
        <v>225</v>
      </c>
      <c r="I595" t="s">
        <v>212</v>
      </c>
      <c r="J595" t="str">
        <f ca="1">VLOOKUP(B595,Customer_Data!$A:$D,4,FALSE)</f>
        <v>Gold</v>
      </c>
    </row>
    <row r="596" spans="1:10" x14ac:dyDescent="0.35">
      <c r="A596" t="s">
        <v>843</v>
      </c>
      <c r="B596" t="str">
        <f t="shared" ca="1" si="36"/>
        <v>CUST159</v>
      </c>
      <c r="C596" s="1">
        <f t="shared" ca="1" si="37"/>
        <v>45759</v>
      </c>
      <c r="D596" t="s">
        <v>1251</v>
      </c>
      <c r="E596" t="s">
        <v>1256</v>
      </c>
      <c r="F596">
        <f t="shared" ca="1" si="38"/>
        <v>4</v>
      </c>
      <c r="G596">
        <v>80</v>
      </c>
      <c r="H596">
        <f t="shared" ca="1" si="39"/>
        <v>320</v>
      </c>
      <c r="I596" t="s">
        <v>212</v>
      </c>
      <c r="J596" t="str">
        <f ca="1">VLOOKUP(B596,Customer_Data!$A:$D,4,FALSE)</f>
        <v>Gold</v>
      </c>
    </row>
    <row r="597" spans="1:10" x14ac:dyDescent="0.35">
      <c r="A597" t="s">
        <v>844</v>
      </c>
      <c r="B597" t="str">
        <f t="shared" ca="1" si="36"/>
        <v>CUST095</v>
      </c>
      <c r="C597" s="1">
        <f t="shared" ca="1" si="37"/>
        <v>45880</v>
      </c>
      <c r="D597" t="s">
        <v>1250</v>
      </c>
      <c r="E597" t="s">
        <v>1255</v>
      </c>
      <c r="F597">
        <f t="shared" ca="1" si="38"/>
        <v>2</v>
      </c>
      <c r="G597">
        <v>60</v>
      </c>
      <c r="H597">
        <f t="shared" ca="1" si="39"/>
        <v>120</v>
      </c>
      <c r="I597" t="s">
        <v>212</v>
      </c>
      <c r="J597" t="str">
        <f ca="1">VLOOKUP(B597,Customer_Data!$A:$D,4,FALSE)</f>
        <v>Silver</v>
      </c>
    </row>
    <row r="598" spans="1:10" x14ac:dyDescent="0.35">
      <c r="A598" t="s">
        <v>845</v>
      </c>
      <c r="B598" t="str">
        <f t="shared" ca="1" si="36"/>
        <v>CUST101</v>
      </c>
      <c r="C598" s="1">
        <f t="shared" ca="1" si="37"/>
        <v>45971</v>
      </c>
      <c r="D598" t="s">
        <v>1251</v>
      </c>
      <c r="E598" t="s">
        <v>1256</v>
      </c>
      <c r="F598">
        <f t="shared" ca="1" si="38"/>
        <v>4</v>
      </c>
      <c r="G598">
        <v>80</v>
      </c>
      <c r="H598">
        <f t="shared" ca="1" si="39"/>
        <v>320</v>
      </c>
      <c r="I598" t="s">
        <v>212</v>
      </c>
      <c r="J598" t="str">
        <f ca="1">VLOOKUP(B598,Customer_Data!$A:$D,4,FALSE)</f>
        <v>Regular</v>
      </c>
    </row>
    <row r="599" spans="1:10" x14ac:dyDescent="0.35">
      <c r="A599" t="s">
        <v>846</v>
      </c>
      <c r="B599" t="str">
        <f t="shared" ca="1" si="36"/>
        <v>CUST005</v>
      </c>
      <c r="C599" s="1">
        <f t="shared" ca="1" si="37"/>
        <v>45707</v>
      </c>
      <c r="D599" t="s">
        <v>1252</v>
      </c>
      <c r="E599" t="s">
        <v>1257</v>
      </c>
      <c r="F599">
        <f t="shared" ca="1" si="38"/>
        <v>6</v>
      </c>
      <c r="G599">
        <v>120</v>
      </c>
      <c r="H599">
        <f t="shared" ca="1" si="39"/>
        <v>720</v>
      </c>
      <c r="I599" t="s">
        <v>213</v>
      </c>
      <c r="J599" t="str">
        <f ca="1">VLOOKUP(B599,Customer_Data!$A:$D,4,FALSE)</f>
        <v>Regular</v>
      </c>
    </row>
    <row r="600" spans="1:10" x14ac:dyDescent="0.35">
      <c r="A600" t="s">
        <v>847</v>
      </c>
      <c r="B600" t="str">
        <f t="shared" ca="1" si="36"/>
        <v>CUST172</v>
      </c>
      <c r="C600" s="1">
        <f t="shared" ca="1" si="37"/>
        <v>45684</v>
      </c>
      <c r="D600" t="s">
        <v>1249</v>
      </c>
      <c r="E600" t="s">
        <v>1254</v>
      </c>
      <c r="F600">
        <f t="shared" ca="1" si="38"/>
        <v>3</v>
      </c>
      <c r="G600">
        <v>25</v>
      </c>
      <c r="H600">
        <f t="shared" ca="1" si="39"/>
        <v>75</v>
      </c>
      <c r="I600" t="s">
        <v>214</v>
      </c>
      <c r="J600" t="str">
        <f ca="1">VLOOKUP(B600,Customer_Data!$A:$D,4,FALSE)</f>
        <v>Regular</v>
      </c>
    </row>
    <row r="601" spans="1:10" x14ac:dyDescent="0.35">
      <c r="A601" t="s">
        <v>848</v>
      </c>
      <c r="B601" t="str">
        <f t="shared" ca="1" si="36"/>
        <v>CUST062</v>
      </c>
      <c r="C601" s="1">
        <f t="shared" ca="1" si="37"/>
        <v>45970</v>
      </c>
      <c r="D601" t="s">
        <v>1250</v>
      </c>
      <c r="E601" t="s">
        <v>1255</v>
      </c>
      <c r="F601">
        <f t="shared" ca="1" si="38"/>
        <v>1</v>
      </c>
      <c r="G601">
        <v>60</v>
      </c>
      <c r="H601">
        <f t="shared" ca="1" si="39"/>
        <v>60</v>
      </c>
      <c r="I601" t="s">
        <v>214</v>
      </c>
      <c r="J601" t="str">
        <f ca="1">VLOOKUP(B601,Customer_Data!$A:$D,4,FALSE)</f>
        <v>Regular</v>
      </c>
    </row>
    <row r="602" spans="1:10" x14ac:dyDescent="0.35">
      <c r="A602" t="s">
        <v>849</v>
      </c>
      <c r="B602" t="str">
        <f t="shared" ca="1" si="36"/>
        <v>CUST071</v>
      </c>
      <c r="C602" s="1">
        <f t="shared" ca="1" si="37"/>
        <v>45676</v>
      </c>
      <c r="D602" t="s">
        <v>1253</v>
      </c>
      <c r="E602" t="s">
        <v>1258</v>
      </c>
      <c r="F602">
        <f t="shared" ca="1" si="38"/>
        <v>7</v>
      </c>
      <c r="G602">
        <v>90</v>
      </c>
      <c r="H602">
        <f t="shared" ca="1" si="39"/>
        <v>630</v>
      </c>
      <c r="I602" t="s">
        <v>213</v>
      </c>
      <c r="J602" t="str">
        <f ca="1">VLOOKUP(B602,Customer_Data!$A:$D,4,FALSE)</f>
        <v>Regular</v>
      </c>
    </row>
    <row r="603" spans="1:10" x14ac:dyDescent="0.35">
      <c r="A603" t="s">
        <v>850</v>
      </c>
      <c r="B603" t="str">
        <f t="shared" ca="1" si="36"/>
        <v>CUST127</v>
      </c>
      <c r="C603" s="1">
        <f t="shared" ca="1" si="37"/>
        <v>45669</v>
      </c>
      <c r="D603" t="s">
        <v>1249</v>
      </c>
      <c r="E603" t="s">
        <v>1254</v>
      </c>
      <c r="F603">
        <f t="shared" ca="1" si="38"/>
        <v>3</v>
      </c>
      <c r="G603">
        <v>25</v>
      </c>
      <c r="H603">
        <f t="shared" ca="1" si="39"/>
        <v>75</v>
      </c>
      <c r="I603" t="s">
        <v>213</v>
      </c>
      <c r="J603" t="str">
        <f ca="1">VLOOKUP(B603,Customer_Data!$A:$D,4,FALSE)</f>
        <v>Regular</v>
      </c>
    </row>
    <row r="604" spans="1:10" x14ac:dyDescent="0.35">
      <c r="A604" t="s">
        <v>851</v>
      </c>
      <c r="B604" t="str">
        <f t="shared" ca="1" si="36"/>
        <v>CUST085</v>
      </c>
      <c r="C604" s="1">
        <f t="shared" ca="1" si="37"/>
        <v>45992</v>
      </c>
      <c r="D604" t="s">
        <v>1253</v>
      </c>
      <c r="E604" t="s">
        <v>1258</v>
      </c>
      <c r="F604">
        <f t="shared" ca="1" si="38"/>
        <v>1</v>
      </c>
      <c r="G604">
        <v>90</v>
      </c>
      <c r="H604">
        <f t="shared" ca="1" si="39"/>
        <v>90</v>
      </c>
      <c r="I604" t="s">
        <v>212</v>
      </c>
      <c r="J604" t="str">
        <f ca="1">VLOOKUP(B604,Customer_Data!$A:$D,4,FALSE)</f>
        <v>Regular</v>
      </c>
    </row>
    <row r="605" spans="1:10" x14ac:dyDescent="0.35">
      <c r="A605" t="s">
        <v>852</v>
      </c>
      <c r="B605" t="str">
        <f t="shared" ca="1" si="36"/>
        <v>CUST021</v>
      </c>
      <c r="C605" s="1">
        <f t="shared" ca="1" si="37"/>
        <v>45854</v>
      </c>
      <c r="D605" t="s">
        <v>1253</v>
      </c>
      <c r="E605" t="s">
        <v>1258</v>
      </c>
      <c r="F605">
        <f t="shared" ca="1" si="38"/>
        <v>6</v>
      </c>
      <c r="G605">
        <v>90</v>
      </c>
      <c r="H605">
        <f t="shared" ca="1" si="39"/>
        <v>540</v>
      </c>
      <c r="I605" t="s">
        <v>214</v>
      </c>
      <c r="J605" t="str">
        <f ca="1">VLOOKUP(B605,Customer_Data!$A:$D,4,FALSE)</f>
        <v>Regular</v>
      </c>
    </row>
    <row r="606" spans="1:10" x14ac:dyDescent="0.35">
      <c r="A606" t="s">
        <v>853</v>
      </c>
      <c r="B606" t="str">
        <f t="shared" ca="1" si="36"/>
        <v>CUST053</v>
      </c>
      <c r="C606" s="1">
        <f t="shared" ca="1" si="37"/>
        <v>45679</v>
      </c>
      <c r="D606" t="s">
        <v>1251</v>
      </c>
      <c r="E606" t="s">
        <v>1256</v>
      </c>
      <c r="F606">
        <f t="shared" ca="1" si="38"/>
        <v>5</v>
      </c>
      <c r="G606">
        <v>80</v>
      </c>
      <c r="H606">
        <f t="shared" ca="1" si="39"/>
        <v>400</v>
      </c>
      <c r="I606" t="s">
        <v>213</v>
      </c>
      <c r="J606" t="str">
        <f ca="1">VLOOKUP(B606,Customer_Data!$A:$D,4,FALSE)</f>
        <v>Silver</v>
      </c>
    </row>
    <row r="607" spans="1:10" x14ac:dyDescent="0.35">
      <c r="A607" t="s">
        <v>854</v>
      </c>
      <c r="B607" t="str">
        <f t="shared" ca="1" si="36"/>
        <v>CUST047</v>
      </c>
      <c r="C607" s="1">
        <f t="shared" ca="1" si="37"/>
        <v>45849</v>
      </c>
      <c r="D607" t="s">
        <v>1253</v>
      </c>
      <c r="E607" t="s">
        <v>1258</v>
      </c>
      <c r="F607">
        <f t="shared" ca="1" si="38"/>
        <v>7</v>
      </c>
      <c r="G607">
        <v>90</v>
      </c>
      <c r="H607">
        <f t="shared" ca="1" si="39"/>
        <v>630</v>
      </c>
      <c r="I607" t="s">
        <v>211</v>
      </c>
      <c r="J607" t="str">
        <f ca="1">VLOOKUP(B607,Customer_Data!$A:$D,4,FALSE)</f>
        <v>Regular</v>
      </c>
    </row>
    <row r="608" spans="1:10" x14ac:dyDescent="0.35">
      <c r="A608" t="s">
        <v>855</v>
      </c>
      <c r="B608" t="str">
        <f t="shared" ca="1" si="36"/>
        <v>CUST171</v>
      </c>
      <c r="C608" s="1">
        <f t="shared" ca="1" si="37"/>
        <v>45753</v>
      </c>
      <c r="D608" t="s">
        <v>1251</v>
      </c>
      <c r="E608" t="s">
        <v>1256</v>
      </c>
      <c r="F608">
        <f t="shared" ca="1" si="38"/>
        <v>8</v>
      </c>
      <c r="G608">
        <v>80</v>
      </c>
      <c r="H608">
        <f t="shared" ca="1" si="39"/>
        <v>640</v>
      </c>
      <c r="I608" t="s">
        <v>211</v>
      </c>
      <c r="J608" t="str">
        <f ca="1">VLOOKUP(B608,Customer_Data!$A:$D,4,FALSE)</f>
        <v>Regular</v>
      </c>
    </row>
    <row r="609" spans="1:10" x14ac:dyDescent="0.35">
      <c r="A609" t="s">
        <v>856</v>
      </c>
      <c r="B609" t="str">
        <f t="shared" ca="1" si="36"/>
        <v>CUST044</v>
      </c>
      <c r="C609" s="1">
        <f t="shared" ca="1" si="37"/>
        <v>45936</v>
      </c>
      <c r="D609" t="s">
        <v>1252</v>
      </c>
      <c r="E609" t="s">
        <v>1257</v>
      </c>
      <c r="F609">
        <f t="shared" ca="1" si="38"/>
        <v>1</v>
      </c>
      <c r="G609">
        <v>120</v>
      </c>
      <c r="H609">
        <f t="shared" ca="1" si="39"/>
        <v>120</v>
      </c>
      <c r="I609" t="s">
        <v>211</v>
      </c>
      <c r="J609" t="str">
        <f ca="1">VLOOKUP(B609,Customer_Data!$A:$D,4,FALSE)</f>
        <v>Regular</v>
      </c>
    </row>
    <row r="610" spans="1:10" x14ac:dyDescent="0.35">
      <c r="A610" t="s">
        <v>857</v>
      </c>
      <c r="B610" t="str">
        <f t="shared" ca="1" si="36"/>
        <v>CUST186</v>
      </c>
      <c r="C610" s="1">
        <f t="shared" ca="1" si="37"/>
        <v>45700</v>
      </c>
      <c r="D610" t="s">
        <v>1253</v>
      </c>
      <c r="E610" t="s">
        <v>1258</v>
      </c>
      <c r="F610">
        <f t="shared" ca="1" si="38"/>
        <v>1</v>
      </c>
      <c r="G610">
        <v>90</v>
      </c>
      <c r="H610">
        <f t="shared" ca="1" si="39"/>
        <v>90</v>
      </c>
      <c r="I610" t="s">
        <v>214</v>
      </c>
      <c r="J610" t="str">
        <f ca="1">VLOOKUP(B610,Customer_Data!$A:$D,4,FALSE)</f>
        <v>Regular</v>
      </c>
    </row>
    <row r="611" spans="1:10" x14ac:dyDescent="0.35">
      <c r="A611" t="s">
        <v>858</v>
      </c>
      <c r="B611" t="str">
        <f t="shared" ca="1" si="36"/>
        <v>CUST172</v>
      </c>
      <c r="C611" s="1">
        <f t="shared" ca="1" si="37"/>
        <v>45950</v>
      </c>
      <c r="D611" t="s">
        <v>1253</v>
      </c>
      <c r="E611" t="s">
        <v>1258</v>
      </c>
      <c r="F611">
        <f t="shared" ca="1" si="38"/>
        <v>8</v>
      </c>
      <c r="G611">
        <v>90</v>
      </c>
      <c r="H611">
        <f t="shared" ca="1" si="39"/>
        <v>720</v>
      </c>
      <c r="I611" t="s">
        <v>213</v>
      </c>
      <c r="J611" t="str">
        <f ca="1">VLOOKUP(B611,Customer_Data!$A:$D,4,FALSE)</f>
        <v>Regular</v>
      </c>
    </row>
    <row r="612" spans="1:10" x14ac:dyDescent="0.35">
      <c r="A612" t="s">
        <v>859</v>
      </c>
      <c r="B612" t="str">
        <f t="shared" ca="1" si="36"/>
        <v>CUST097</v>
      </c>
      <c r="C612" s="1">
        <f t="shared" ca="1" si="37"/>
        <v>45927</v>
      </c>
      <c r="D612" t="s">
        <v>1253</v>
      </c>
      <c r="E612" t="s">
        <v>1258</v>
      </c>
      <c r="F612">
        <f t="shared" ca="1" si="38"/>
        <v>10</v>
      </c>
      <c r="G612">
        <v>90</v>
      </c>
      <c r="H612">
        <f t="shared" ca="1" si="39"/>
        <v>900</v>
      </c>
      <c r="I612" t="s">
        <v>211</v>
      </c>
      <c r="J612" t="str">
        <f ca="1">VLOOKUP(B612,Customer_Data!$A:$D,4,FALSE)</f>
        <v>Silver</v>
      </c>
    </row>
    <row r="613" spans="1:10" x14ac:dyDescent="0.35">
      <c r="A613" t="s">
        <v>860</v>
      </c>
      <c r="B613" t="str">
        <f t="shared" ca="1" si="36"/>
        <v>CUST124</v>
      </c>
      <c r="C613" s="1">
        <f t="shared" ca="1" si="37"/>
        <v>45847</v>
      </c>
      <c r="D613" t="s">
        <v>1249</v>
      </c>
      <c r="E613" t="s">
        <v>1254</v>
      </c>
      <c r="F613">
        <f t="shared" ca="1" si="38"/>
        <v>3</v>
      </c>
      <c r="G613">
        <v>25</v>
      </c>
      <c r="H613">
        <f t="shared" ca="1" si="39"/>
        <v>75</v>
      </c>
      <c r="I613" t="s">
        <v>214</v>
      </c>
      <c r="J613" t="str">
        <f ca="1">VLOOKUP(B613,Customer_Data!$A:$D,4,FALSE)</f>
        <v>Regular</v>
      </c>
    </row>
    <row r="614" spans="1:10" x14ac:dyDescent="0.35">
      <c r="A614" t="s">
        <v>861</v>
      </c>
      <c r="B614" t="str">
        <f t="shared" ca="1" si="36"/>
        <v>CUST119</v>
      </c>
      <c r="C614" s="1">
        <f t="shared" ca="1" si="37"/>
        <v>45668</v>
      </c>
      <c r="D614" t="s">
        <v>1253</v>
      </c>
      <c r="E614" t="s">
        <v>1258</v>
      </c>
      <c r="F614">
        <f t="shared" ca="1" si="38"/>
        <v>5</v>
      </c>
      <c r="G614">
        <v>90</v>
      </c>
      <c r="H614">
        <f t="shared" ca="1" si="39"/>
        <v>450</v>
      </c>
      <c r="I614" t="s">
        <v>212</v>
      </c>
      <c r="J614" t="str">
        <f ca="1">VLOOKUP(B614,Customer_Data!$A:$D,4,FALSE)</f>
        <v>Gold</v>
      </c>
    </row>
    <row r="615" spans="1:10" x14ac:dyDescent="0.35">
      <c r="A615" t="s">
        <v>862</v>
      </c>
      <c r="B615" t="str">
        <f t="shared" ca="1" si="36"/>
        <v>CUST125</v>
      </c>
      <c r="C615" s="1">
        <f t="shared" ca="1" si="37"/>
        <v>45866</v>
      </c>
      <c r="D615" t="s">
        <v>1252</v>
      </c>
      <c r="E615" t="s">
        <v>1257</v>
      </c>
      <c r="F615">
        <f t="shared" ca="1" si="38"/>
        <v>5</v>
      </c>
      <c r="G615">
        <v>120</v>
      </c>
      <c r="H615">
        <f t="shared" ca="1" si="39"/>
        <v>600</v>
      </c>
      <c r="I615" t="s">
        <v>212</v>
      </c>
      <c r="J615" t="str">
        <f ca="1">VLOOKUP(B615,Customer_Data!$A:$D,4,FALSE)</f>
        <v>Regular</v>
      </c>
    </row>
    <row r="616" spans="1:10" x14ac:dyDescent="0.35">
      <c r="A616" t="s">
        <v>863</v>
      </c>
      <c r="B616" t="str">
        <f t="shared" ca="1" si="36"/>
        <v>CUST012</v>
      </c>
      <c r="C616" s="1">
        <f t="shared" ca="1" si="37"/>
        <v>45768</v>
      </c>
      <c r="D616" t="s">
        <v>1251</v>
      </c>
      <c r="E616" t="s">
        <v>1256</v>
      </c>
      <c r="F616">
        <f t="shared" ca="1" si="38"/>
        <v>8</v>
      </c>
      <c r="G616">
        <v>80</v>
      </c>
      <c r="H616">
        <f t="shared" ca="1" si="39"/>
        <v>640</v>
      </c>
      <c r="I616" t="s">
        <v>211</v>
      </c>
      <c r="J616" t="str">
        <f ca="1">VLOOKUP(B616,Customer_Data!$A:$D,4,FALSE)</f>
        <v>Regular</v>
      </c>
    </row>
    <row r="617" spans="1:10" x14ac:dyDescent="0.35">
      <c r="A617" t="s">
        <v>864</v>
      </c>
      <c r="B617" t="str">
        <f t="shared" ca="1" si="36"/>
        <v>CUST111</v>
      </c>
      <c r="C617" s="1">
        <f t="shared" ca="1" si="37"/>
        <v>45777</v>
      </c>
      <c r="D617" t="s">
        <v>1250</v>
      </c>
      <c r="E617" t="s">
        <v>1255</v>
      </c>
      <c r="F617">
        <f t="shared" ca="1" si="38"/>
        <v>6</v>
      </c>
      <c r="G617">
        <v>60</v>
      </c>
      <c r="H617">
        <f t="shared" ca="1" si="39"/>
        <v>360</v>
      </c>
      <c r="I617" t="s">
        <v>214</v>
      </c>
      <c r="J617" t="str">
        <f ca="1">VLOOKUP(B617,Customer_Data!$A:$D,4,FALSE)</f>
        <v>Regular</v>
      </c>
    </row>
    <row r="618" spans="1:10" x14ac:dyDescent="0.35">
      <c r="A618" t="s">
        <v>865</v>
      </c>
      <c r="B618" t="str">
        <f t="shared" ca="1" si="36"/>
        <v>CUST049</v>
      </c>
      <c r="C618" s="1">
        <f t="shared" ca="1" si="37"/>
        <v>45741</v>
      </c>
      <c r="D618" t="s">
        <v>1249</v>
      </c>
      <c r="E618" t="s">
        <v>1254</v>
      </c>
      <c r="F618">
        <f t="shared" ca="1" si="38"/>
        <v>4</v>
      </c>
      <c r="G618">
        <v>25</v>
      </c>
      <c r="H618">
        <f t="shared" ca="1" si="39"/>
        <v>100</v>
      </c>
      <c r="I618" t="s">
        <v>213</v>
      </c>
      <c r="J618" t="str">
        <f ca="1">VLOOKUP(B618,Customer_Data!$A:$D,4,FALSE)</f>
        <v>Regular</v>
      </c>
    </row>
    <row r="619" spans="1:10" x14ac:dyDescent="0.35">
      <c r="A619" t="s">
        <v>866</v>
      </c>
      <c r="B619" t="str">
        <f t="shared" ca="1" si="36"/>
        <v>CUST180</v>
      </c>
      <c r="C619" s="1">
        <f t="shared" ca="1" si="37"/>
        <v>45925</v>
      </c>
      <c r="D619" t="s">
        <v>1253</v>
      </c>
      <c r="E619" t="s">
        <v>1258</v>
      </c>
      <c r="F619">
        <f t="shared" ca="1" si="38"/>
        <v>6</v>
      </c>
      <c r="G619">
        <v>90</v>
      </c>
      <c r="H619">
        <f t="shared" ca="1" si="39"/>
        <v>540</v>
      </c>
      <c r="I619" t="s">
        <v>211</v>
      </c>
      <c r="J619" t="str">
        <f ca="1">VLOOKUP(B619,Customer_Data!$A:$D,4,FALSE)</f>
        <v>Gold</v>
      </c>
    </row>
    <row r="620" spans="1:10" x14ac:dyDescent="0.35">
      <c r="A620" t="s">
        <v>867</v>
      </c>
      <c r="B620" t="str">
        <f t="shared" ca="1" si="36"/>
        <v>CUST117</v>
      </c>
      <c r="C620" s="1">
        <f t="shared" ca="1" si="37"/>
        <v>45979</v>
      </c>
      <c r="D620" t="s">
        <v>1252</v>
      </c>
      <c r="E620" t="s">
        <v>1257</v>
      </c>
      <c r="F620">
        <f t="shared" ca="1" si="38"/>
        <v>6</v>
      </c>
      <c r="G620">
        <v>120</v>
      </c>
      <c r="H620">
        <f t="shared" ca="1" si="39"/>
        <v>720</v>
      </c>
      <c r="I620" t="s">
        <v>213</v>
      </c>
      <c r="J620" t="str">
        <f ca="1">VLOOKUP(B620,Customer_Data!$A:$D,4,FALSE)</f>
        <v>Silver</v>
      </c>
    </row>
    <row r="621" spans="1:10" x14ac:dyDescent="0.35">
      <c r="A621" t="s">
        <v>868</v>
      </c>
      <c r="B621" t="str">
        <f t="shared" ca="1" si="36"/>
        <v>CUST115</v>
      </c>
      <c r="C621" s="1">
        <f t="shared" ca="1" si="37"/>
        <v>45789</v>
      </c>
      <c r="D621" t="s">
        <v>1249</v>
      </c>
      <c r="E621" t="s">
        <v>1254</v>
      </c>
      <c r="F621">
        <f t="shared" ca="1" si="38"/>
        <v>7</v>
      </c>
      <c r="G621">
        <v>25</v>
      </c>
      <c r="H621">
        <f t="shared" ca="1" si="39"/>
        <v>175</v>
      </c>
      <c r="I621" t="s">
        <v>211</v>
      </c>
      <c r="J621" t="str">
        <f ca="1">VLOOKUP(B621,Customer_Data!$A:$D,4,FALSE)</f>
        <v>Silver</v>
      </c>
    </row>
    <row r="622" spans="1:10" x14ac:dyDescent="0.35">
      <c r="A622" t="s">
        <v>869</v>
      </c>
      <c r="B622" t="str">
        <f t="shared" ca="1" si="36"/>
        <v>CUST185</v>
      </c>
      <c r="C622" s="1">
        <f t="shared" ca="1" si="37"/>
        <v>45671</v>
      </c>
      <c r="D622" t="s">
        <v>1251</v>
      </c>
      <c r="E622" t="s">
        <v>1256</v>
      </c>
      <c r="F622">
        <f t="shared" ca="1" si="38"/>
        <v>8</v>
      </c>
      <c r="G622">
        <v>80</v>
      </c>
      <c r="H622">
        <f t="shared" ca="1" si="39"/>
        <v>640</v>
      </c>
      <c r="I622" t="s">
        <v>212</v>
      </c>
      <c r="J622" t="str">
        <f ca="1">VLOOKUP(B622,Customer_Data!$A:$D,4,FALSE)</f>
        <v>Regular</v>
      </c>
    </row>
    <row r="623" spans="1:10" x14ac:dyDescent="0.35">
      <c r="A623" t="s">
        <v>870</v>
      </c>
      <c r="B623" t="str">
        <f t="shared" ca="1" si="36"/>
        <v>CUST178</v>
      </c>
      <c r="C623" s="1">
        <f t="shared" ca="1" si="37"/>
        <v>45771</v>
      </c>
      <c r="D623" t="s">
        <v>1251</v>
      </c>
      <c r="E623" t="s">
        <v>1256</v>
      </c>
      <c r="F623">
        <f t="shared" ca="1" si="38"/>
        <v>6</v>
      </c>
      <c r="G623">
        <v>80</v>
      </c>
      <c r="H623">
        <f t="shared" ca="1" si="39"/>
        <v>480</v>
      </c>
      <c r="I623" t="s">
        <v>214</v>
      </c>
      <c r="J623" t="str">
        <f ca="1">VLOOKUP(B623,Customer_Data!$A:$D,4,FALSE)</f>
        <v>Gold</v>
      </c>
    </row>
    <row r="624" spans="1:10" x14ac:dyDescent="0.35">
      <c r="A624" t="s">
        <v>871</v>
      </c>
      <c r="B624" t="str">
        <f t="shared" ca="1" si="36"/>
        <v>CUST040</v>
      </c>
      <c r="C624" s="1">
        <f t="shared" ca="1" si="37"/>
        <v>45786</v>
      </c>
      <c r="D624" t="s">
        <v>1250</v>
      </c>
      <c r="E624" t="s">
        <v>1255</v>
      </c>
      <c r="F624">
        <f t="shared" ca="1" si="38"/>
        <v>6</v>
      </c>
      <c r="G624">
        <v>60</v>
      </c>
      <c r="H624">
        <f t="shared" ca="1" si="39"/>
        <v>360</v>
      </c>
      <c r="I624" t="s">
        <v>212</v>
      </c>
      <c r="J624" t="str">
        <f ca="1">VLOOKUP(B624,Customer_Data!$A:$D,4,FALSE)</f>
        <v>Gold</v>
      </c>
    </row>
    <row r="625" spans="1:10" x14ac:dyDescent="0.35">
      <c r="A625" t="s">
        <v>872</v>
      </c>
      <c r="B625" t="str">
        <f t="shared" ca="1" si="36"/>
        <v>CUST175</v>
      </c>
      <c r="C625" s="1">
        <f t="shared" ca="1" si="37"/>
        <v>45757</v>
      </c>
      <c r="D625" t="s">
        <v>1249</v>
      </c>
      <c r="E625" t="s">
        <v>1254</v>
      </c>
      <c r="F625">
        <f t="shared" ca="1" si="38"/>
        <v>1</v>
      </c>
      <c r="G625">
        <v>25</v>
      </c>
      <c r="H625">
        <f t="shared" ca="1" si="39"/>
        <v>25</v>
      </c>
      <c r="I625" t="s">
        <v>214</v>
      </c>
      <c r="J625" t="str">
        <f ca="1">VLOOKUP(B625,Customer_Data!$A:$D,4,FALSE)</f>
        <v>Silver</v>
      </c>
    </row>
    <row r="626" spans="1:10" x14ac:dyDescent="0.35">
      <c r="A626" t="s">
        <v>873</v>
      </c>
      <c r="B626" t="str">
        <f t="shared" ca="1" si="36"/>
        <v>CUST189</v>
      </c>
      <c r="C626" s="1">
        <f t="shared" ca="1" si="37"/>
        <v>45754</v>
      </c>
      <c r="D626" t="s">
        <v>1253</v>
      </c>
      <c r="E626" t="s">
        <v>1258</v>
      </c>
      <c r="F626">
        <f t="shared" ca="1" si="38"/>
        <v>5</v>
      </c>
      <c r="G626">
        <v>90</v>
      </c>
      <c r="H626">
        <f t="shared" ca="1" si="39"/>
        <v>450</v>
      </c>
      <c r="I626" t="s">
        <v>211</v>
      </c>
      <c r="J626" t="str">
        <f ca="1">VLOOKUP(B626,Customer_Data!$A:$D,4,FALSE)</f>
        <v>Regular</v>
      </c>
    </row>
    <row r="627" spans="1:10" x14ac:dyDescent="0.35">
      <c r="A627" t="s">
        <v>874</v>
      </c>
      <c r="B627" t="str">
        <f t="shared" ca="1" si="36"/>
        <v>CUST195</v>
      </c>
      <c r="C627" s="1">
        <f t="shared" ca="1" si="37"/>
        <v>45741</v>
      </c>
      <c r="D627" t="s">
        <v>1249</v>
      </c>
      <c r="E627" t="s">
        <v>1254</v>
      </c>
      <c r="F627">
        <f t="shared" ca="1" si="38"/>
        <v>7</v>
      </c>
      <c r="G627">
        <v>25</v>
      </c>
      <c r="H627">
        <f t="shared" ca="1" si="39"/>
        <v>175</v>
      </c>
      <c r="I627" t="s">
        <v>214</v>
      </c>
      <c r="J627" t="str">
        <f ca="1">VLOOKUP(B627,Customer_Data!$A:$D,4,FALSE)</f>
        <v>Silver</v>
      </c>
    </row>
    <row r="628" spans="1:10" x14ac:dyDescent="0.35">
      <c r="A628" t="s">
        <v>875</v>
      </c>
      <c r="B628" t="str">
        <f t="shared" ca="1" si="36"/>
        <v>CUST033</v>
      </c>
      <c r="C628" s="1">
        <f t="shared" ca="1" si="37"/>
        <v>46015</v>
      </c>
      <c r="D628" t="s">
        <v>1253</v>
      </c>
      <c r="E628" t="s">
        <v>1258</v>
      </c>
      <c r="F628">
        <f t="shared" ca="1" si="38"/>
        <v>4</v>
      </c>
      <c r="G628">
        <v>90</v>
      </c>
      <c r="H628">
        <f t="shared" ca="1" si="39"/>
        <v>360</v>
      </c>
      <c r="I628" t="s">
        <v>213</v>
      </c>
      <c r="J628" t="str">
        <f ca="1">VLOOKUP(B628,Customer_Data!$A:$D,4,FALSE)</f>
        <v>Silver</v>
      </c>
    </row>
    <row r="629" spans="1:10" x14ac:dyDescent="0.35">
      <c r="A629" t="s">
        <v>876</v>
      </c>
      <c r="B629" t="str">
        <f t="shared" ca="1" si="36"/>
        <v>CUST062</v>
      </c>
      <c r="C629" s="1">
        <f t="shared" ca="1" si="37"/>
        <v>45965</v>
      </c>
      <c r="D629" t="s">
        <v>1252</v>
      </c>
      <c r="E629" t="s">
        <v>1257</v>
      </c>
      <c r="F629">
        <f t="shared" ca="1" si="38"/>
        <v>10</v>
      </c>
      <c r="G629">
        <v>120</v>
      </c>
      <c r="H629">
        <f t="shared" ca="1" si="39"/>
        <v>1200</v>
      </c>
      <c r="I629" t="s">
        <v>212</v>
      </c>
      <c r="J629" t="str">
        <f ca="1">VLOOKUP(B629,Customer_Data!$A:$D,4,FALSE)</f>
        <v>Regular</v>
      </c>
    </row>
    <row r="630" spans="1:10" x14ac:dyDescent="0.35">
      <c r="A630" t="s">
        <v>877</v>
      </c>
      <c r="B630" t="str">
        <f t="shared" ca="1" si="36"/>
        <v>CUST001</v>
      </c>
      <c r="C630" s="1">
        <f t="shared" ca="1" si="37"/>
        <v>45787</v>
      </c>
      <c r="D630" t="s">
        <v>1249</v>
      </c>
      <c r="E630" t="s">
        <v>1254</v>
      </c>
      <c r="F630">
        <f t="shared" ca="1" si="38"/>
        <v>1</v>
      </c>
      <c r="G630">
        <v>25</v>
      </c>
      <c r="H630">
        <f t="shared" ca="1" si="39"/>
        <v>25</v>
      </c>
      <c r="I630" t="s">
        <v>213</v>
      </c>
      <c r="J630" t="str">
        <f ca="1">VLOOKUP(B630,Customer_Data!$A:$D,4,FALSE)</f>
        <v>Regular</v>
      </c>
    </row>
    <row r="631" spans="1:10" x14ac:dyDescent="0.35">
      <c r="A631" t="s">
        <v>878</v>
      </c>
      <c r="B631" t="str">
        <f t="shared" ca="1" si="36"/>
        <v>CUST133</v>
      </c>
      <c r="C631" s="1">
        <f t="shared" ca="1" si="37"/>
        <v>45661</v>
      </c>
      <c r="D631" t="s">
        <v>1250</v>
      </c>
      <c r="E631" t="s">
        <v>1255</v>
      </c>
      <c r="F631">
        <f t="shared" ca="1" si="38"/>
        <v>10</v>
      </c>
      <c r="G631">
        <v>60</v>
      </c>
      <c r="H631">
        <f t="shared" ca="1" si="39"/>
        <v>600</v>
      </c>
      <c r="I631" t="s">
        <v>213</v>
      </c>
      <c r="J631" t="str">
        <f ca="1">VLOOKUP(B631,Customer_Data!$A:$D,4,FALSE)</f>
        <v>Silver</v>
      </c>
    </row>
    <row r="632" spans="1:10" x14ac:dyDescent="0.35">
      <c r="A632" t="s">
        <v>879</v>
      </c>
      <c r="B632" t="str">
        <f t="shared" ca="1" si="36"/>
        <v>CUST023</v>
      </c>
      <c r="C632" s="1">
        <f t="shared" ca="1" si="37"/>
        <v>45889</v>
      </c>
      <c r="D632" t="s">
        <v>1249</v>
      </c>
      <c r="E632" t="s">
        <v>1254</v>
      </c>
      <c r="F632">
        <f t="shared" ca="1" si="38"/>
        <v>7</v>
      </c>
      <c r="G632">
        <v>25</v>
      </c>
      <c r="H632">
        <f t="shared" ca="1" si="39"/>
        <v>175</v>
      </c>
      <c r="I632" t="s">
        <v>212</v>
      </c>
      <c r="J632" t="str">
        <f ca="1">VLOOKUP(B632,Customer_Data!$A:$D,4,FALSE)</f>
        <v>Regular</v>
      </c>
    </row>
    <row r="633" spans="1:10" x14ac:dyDescent="0.35">
      <c r="A633" t="s">
        <v>880</v>
      </c>
      <c r="B633" t="str">
        <f t="shared" ca="1" si="36"/>
        <v>CUST106</v>
      </c>
      <c r="C633" s="1">
        <f t="shared" ca="1" si="37"/>
        <v>45855</v>
      </c>
      <c r="D633" t="s">
        <v>1253</v>
      </c>
      <c r="E633" t="s">
        <v>1258</v>
      </c>
      <c r="F633">
        <f t="shared" ca="1" si="38"/>
        <v>5</v>
      </c>
      <c r="G633">
        <v>90</v>
      </c>
      <c r="H633">
        <f t="shared" ca="1" si="39"/>
        <v>450</v>
      </c>
      <c r="I633" t="s">
        <v>212</v>
      </c>
      <c r="J633" t="str">
        <f ca="1">VLOOKUP(B633,Customer_Data!$A:$D,4,FALSE)</f>
        <v>Regular</v>
      </c>
    </row>
    <row r="634" spans="1:10" x14ac:dyDescent="0.35">
      <c r="A634" t="s">
        <v>881</v>
      </c>
      <c r="B634" t="str">
        <f t="shared" ca="1" si="36"/>
        <v>CUST172</v>
      </c>
      <c r="C634" s="1">
        <f t="shared" ca="1" si="37"/>
        <v>45935</v>
      </c>
      <c r="D634" t="s">
        <v>1253</v>
      </c>
      <c r="E634" t="s">
        <v>1258</v>
      </c>
      <c r="F634">
        <f t="shared" ca="1" si="38"/>
        <v>3</v>
      </c>
      <c r="G634">
        <v>90</v>
      </c>
      <c r="H634">
        <f t="shared" ca="1" si="39"/>
        <v>270</v>
      </c>
      <c r="I634" t="s">
        <v>213</v>
      </c>
      <c r="J634" t="str">
        <f ca="1">VLOOKUP(B634,Customer_Data!$A:$D,4,FALSE)</f>
        <v>Regular</v>
      </c>
    </row>
    <row r="635" spans="1:10" x14ac:dyDescent="0.35">
      <c r="A635" t="s">
        <v>882</v>
      </c>
      <c r="B635" t="str">
        <f t="shared" ca="1" si="36"/>
        <v>CUST199</v>
      </c>
      <c r="C635" s="1">
        <f t="shared" ca="1" si="37"/>
        <v>45798</v>
      </c>
      <c r="D635" t="s">
        <v>1253</v>
      </c>
      <c r="E635" t="s">
        <v>1258</v>
      </c>
      <c r="F635">
        <f t="shared" ca="1" si="38"/>
        <v>5</v>
      </c>
      <c r="G635">
        <v>90</v>
      </c>
      <c r="H635">
        <f t="shared" ca="1" si="39"/>
        <v>450</v>
      </c>
      <c r="I635" t="s">
        <v>213</v>
      </c>
      <c r="J635" t="str">
        <f ca="1">VLOOKUP(B635,Customer_Data!$A:$D,4,FALSE)</f>
        <v>Gold</v>
      </c>
    </row>
    <row r="636" spans="1:10" x14ac:dyDescent="0.35">
      <c r="A636" t="s">
        <v>883</v>
      </c>
      <c r="B636" t="str">
        <f t="shared" ca="1" si="36"/>
        <v>CUST033</v>
      </c>
      <c r="C636" s="1">
        <f t="shared" ca="1" si="37"/>
        <v>45976</v>
      </c>
      <c r="D636" t="s">
        <v>1251</v>
      </c>
      <c r="E636" t="s">
        <v>1256</v>
      </c>
      <c r="F636">
        <f t="shared" ca="1" si="38"/>
        <v>9</v>
      </c>
      <c r="G636">
        <v>80</v>
      </c>
      <c r="H636">
        <f t="shared" ca="1" si="39"/>
        <v>720</v>
      </c>
      <c r="I636" t="s">
        <v>213</v>
      </c>
      <c r="J636" t="str">
        <f ca="1">VLOOKUP(B636,Customer_Data!$A:$D,4,FALSE)</f>
        <v>Silver</v>
      </c>
    </row>
    <row r="637" spans="1:10" x14ac:dyDescent="0.35">
      <c r="A637" t="s">
        <v>884</v>
      </c>
      <c r="B637" t="str">
        <f t="shared" ca="1" si="36"/>
        <v>CUST133</v>
      </c>
      <c r="C637" s="1">
        <f t="shared" ca="1" si="37"/>
        <v>45905</v>
      </c>
      <c r="D637" t="s">
        <v>1253</v>
      </c>
      <c r="E637" t="s">
        <v>1258</v>
      </c>
      <c r="F637">
        <f t="shared" ca="1" si="38"/>
        <v>8</v>
      </c>
      <c r="G637">
        <v>90</v>
      </c>
      <c r="H637">
        <f t="shared" ca="1" si="39"/>
        <v>720</v>
      </c>
      <c r="I637" t="s">
        <v>212</v>
      </c>
      <c r="J637" t="str">
        <f ca="1">VLOOKUP(B637,Customer_Data!$A:$D,4,FALSE)</f>
        <v>Silver</v>
      </c>
    </row>
    <row r="638" spans="1:10" x14ac:dyDescent="0.35">
      <c r="A638" t="s">
        <v>885</v>
      </c>
      <c r="B638" t="str">
        <f t="shared" ca="1" si="36"/>
        <v>CUST185</v>
      </c>
      <c r="C638" s="1">
        <f t="shared" ca="1" si="37"/>
        <v>45839</v>
      </c>
      <c r="D638" t="s">
        <v>1251</v>
      </c>
      <c r="E638" t="s">
        <v>1256</v>
      </c>
      <c r="F638">
        <f t="shared" ca="1" si="38"/>
        <v>3</v>
      </c>
      <c r="G638">
        <v>80</v>
      </c>
      <c r="H638">
        <f t="shared" ca="1" si="39"/>
        <v>240</v>
      </c>
      <c r="I638" t="s">
        <v>213</v>
      </c>
      <c r="J638" t="str">
        <f ca="1">VLOOKUP(B638,Customer_Data!$A:$D,4,FALSE)</f>
        <v>Regular</v>
      </c>
    </row>
    <row r="639" spans="1:10" x14ac:dyDescent="0.35">
      <c r="A639" t="s">
        <v>886</v>
      </c>
      <c r="B639" t="str">
        <f t="shared" ca="1" si="36"/>
        <v>CUST144</v>
      </c>
      <c r="C639" s="1">
        <f t="shared" ca="1" si="37"/>
        <v>45863</v>
      </c>
      <c r="D639" t="s">
        <v>1249</v>
      </c>
      <c r="E639" t="s">
        <v>1254</v>
      </c>
      <c r="F639">
        <f t="shared" ca="1" si="38"/>
        <v>10</v>
      </c>
      <c r="G639">
        <v>25</v>
      </c>
      <c r="H639">
        <f t="shared" ca="1" si="39"/>
        <v>250</v>
      </c>
      <c r="I639" t="s">
        <v>213</v>
      </c>
      <c r="J639" t="str">
        <f ca="1">VLOOKUP(B639,Customer_Data!$A:$D,4,FALSE)</f>
        <v>Regular</v>
      </c>
    </row>
    <row r="640" spans="1:10" x14ac:dyDescent="0.35">
      <c r="A640" t="s">
        <v>887</v>
      </c>
      <c r="B640" t="str">
        <f t="shared" ca="1" si="36"/>
        <v>CUST129</v>
      </c>
      <c r="C640" s="1">
        <f t="shared" ca="1" si="37"/>
        <v>45848</v>
      </c>
      <c r="D640" t="s">
        <v>1252</v>
      </c>
      <c r="E640" t="s">
        <v>1257</v>
      </c>
      <c r="F640">
        <f t="shared" ca="1" si="38"/>
        <v>3</v>
      </c>
      <c r="G640">
        <v>120</v>
      </c>
      <c r="H640">
        <f t="shared" ca="1" si="39"/>
        <v>360</v>
      </c>
      <c r="I640" t="s">
        <v>211</v>
      </c>
      <c r="J640" t="str">
        <f ca="1">VLOOKUP(B640,Customer_Data!$A:$D,4,FALSE)</f>
        <v>Regular</v>
      </c>
    </row>
    <row r="641" spans="1:10" x14ac:dyDescent="0.35">
      <c r="A641" t="s">
        <v>888</v>
      </c>
      <c r="B641" t="str">
        <f t="shared" ca="1" si="36"/>
        <v>CUST055</v>
      </c>
      <c r="C641" s="1">
        <f t="shared" ca="1" si="37"/>
        <v>45745</v>
      </c>
      <c r="D641" t="s">
        <v>1252</v>
      </c>
      <c r="E641" t="s">
        <v>1257</v>
      </c>
      <c r="F641">
        <f t="shared" ca="1" si="38"/>
        <v>10</v>
      </c>
      <c r="G641">
        <v>120</v>
      </c>
      <c r="H641">
        <f t="shared" ca="1" si="39"/>
        <v>1200</v>
      </c>
      <c r="I641" t="s">
        <v>213</v>
      </c>
      <c r="J641" t="str">
        <f ca="1">VLOOKUP(B641,Customer_Data!$A:$D,4,FALSE)</f>
        <v>Silver</v>
      </c>
    </row>
    <row r="642" spans="1:10" x14ac:dyDescent="0.35">
      <c r="A642" t="s">
        <v>889</v>
      </c>
      <c r="B642" t="str">
        <f t="shared" ca="1" si="36"/>
        <v>CUST045</v>
      </c>
      <c r="C642" s="1">
        <f t="shared" ca="1" si="37"/>
        <v>45720</v>
      </c>
      <c r="D642" t="s">
        <v>1250</v>
      </c>
      <c r="E642" t="s">
        <v>1255</v>
      </c>
      <c r="F642">
        <f t="shared" ca="1" si="38"/>
        <v>10</v>
      </c>
      <c r="G642">
        <v>60</v>
      </c>
      <c r="H642">
        <f t="shared" ca="1" si="39"/>
        <v>600</v>
      </c>
      <c r="I642" t="s">
        <v>212</v>
      </c>
      <c r="J642" t="str">
        <f ca="1">VLOOKUP(B642,Customer_Data!$A:$D,4,FALSE)</f>
        <v>Regular</v>
      </c>
    </row>
    <row r="643" spans="1:10" x14ac:dyDescent="0.35">
      <c r="A643" t="s">
        <v>890</v>
      </c>
      <c r="B643" t="str">
        <f t="shared" ref="B643:B706" ca="1" si="40">"CUST"&amp;TEXT(RANDBETWEEN(1,200),"000")</f>
        <v>CUST113</v>
      </c>
      <c r="C643" s="1">
        <f t="shared" ref="C643:C706" ca="1" si="41">DATE(2025,1,1)+RANDBETWEEN(0,364)</f>
        <v>46009</v>
      </c>
      <c r="D643" t="s">
        <v>1251</v>
      </c>
      <c r="E643" t="s">
        <v>1256</v>
      </c>
      <c r="F643">
        <f t="shared" ref="F643:F706" ca="1" si="42">RANDBETWEEN(1,10)</f>
        <v>4</v>
      </c>
      <c r="G643">
        <v>80</v>
      </c>
      <c r="H643">
        <f t="shared" ref="H643:H706" ca="1" si="43">F643*G643</f>
        <v>320</v>
      </c>
      <c r="I643" t="s">
        <v>213</v>
      </c>
      <c r="J643" t="str">
        <f ca="1">VLOOKUP(B643,Customer_Data!$A:$D,4,FALSE)</f>
        <v>Silver</v>
      </c>
    </row>
    <row r="644" spans="1:10" x14ac:dyDescent="0.35">
      <c r="A644" t="s">
        <v>891</v>
      </c>
      <c r="B644" t="str">
        <f t="shared" ca="1" si="40"/>
        <v>CUST109</v>
      </c>
      <c r="C644" s="1">
        <f t="shared" ca="1" si="41"/>
        <v>45791</v>
      </c>
      <c r="D644" t="s">
        <v>1250</v>
      </c>
      <c r="E644" t="s">
        <v>1255</v>
      </c>
      <c r="F644">
        <f t="shared" ca="1" si="42"/>
        <v>3</v>
      </c>
      <c r="G644">
        <v>60</v>
      </c>
      <c r="H644">
        <f t="shared" ca="1" si="43"/>
        <v>180</v>
      </c>
      <c r="I644" t="s">
        <v>214</v>
      </c>
      <c r="J644" t="str">
        <f ca="1">VLOOKUP(B644,Customer_Data!$A:$D,4,FALSE)</f>
        <v>Regular</v>
      </c>
    </row>
    <row r="645" spans="1:10" x14ac:dyDescent="0.35">
      <c r="A645" t="s">
        <v>892</v>
      </c>
      <c r="B645" t="str">
        <f t="shared" ca="1" si="40"/>
        <v>CUST039</v>
      </c>
      <c r="C645" s="1">
        <f t="shared" ca="1" si="41"/>
        <v>45930</v>
      </c>
      <c r="D645" t="s">
        <v>1251</v>
      </c>
      <c r="E645" t="s">
        <v>1256</v>
      </c>
      <c r="F645">
        <f t="shared" ca="1" si="42"/>
        <v>8</v>
      </c>
      <c r="G645">
        <v>80</v>
      </c>
      <c r="H645">
        <f t="shared" ca="1" si="43"/>
        <v>640</v>
      </c>
      <c r="I645" t="s">
        <v>214</v>
      </c>
      <c r="J645" t="str">
        <f ca="1">VLOOKUP(B645,Customer_Data!$A:$D,4,FALSE)</f>
        <v>Gold</v>
      </c>
    </row>
    <row r="646" spans="1:10" x14ac:dyDescent="0.35">
      <c r="A646" t="s">
        <v>893</v>
      </c>
      <c r="B646" t="str">
        <f t="shared" ca="1" si="40"/>
        <v>CUST098</v>
      </c>
      <c r="C646" s="1">
        <f t="shared" ca="1" si="41"/>
        <v>45749</v>
      </c>
      <c r="D646" t="s">
        <v>1253</v>
      </c>
      <c r="E646" t="s">
        <v>1258</v>
      </c>
      <c r="F646">
        <f t="shared" ca="1" si="42"/>
        <v>5</v>
      </c>
      <c r="G646">
        <v>90</v>
      </c>
      <c r="H646">
        <f t="shared" ca="1" si="43"/>
        <v>450</v>
      </c>
      <c r="I646" t="s">
        <v>212</v>
      </c>
      <c r="J646" t="str">
        <f ca="1">VLOOKUP(B646,Customer_Data!$A:$D,4,FALSE)</f>
        <v>Gold</v>
      </c>
    </row>
    <row r="647" spans="1:10" x14ac:dyDescent="0.35">
      <c r="A647" t="s">
        <v>894</v>
      </c>
      <c r="B647" t="str">
        <f t="shared" ca="1" si="40"/>
        <v>CUST035</v>
      </c>
      <c r="C647" s="1">
        <f t="shared" ca="1" si="41"/>
        <v>45981</v>
      </c>
      <c r="D647" t="s">
        <v>1250</v>
      </c>
      <c r="E647" t="s">
        <v>1255</v>
      </c>
      <c r="F647">
        <f t="shared" ca="1" si="42"/>
        <v>6</v>
      </c>
      <c r="G647">
        <v>60</v>
      </c>
      <c r="H647">
        <f t="shared" ca="1" si="43"/>
        <v>360</v>
      </c>
      <c r="I647" t="s">
        <v>212</v>
      </c>
      <c r="J647" t="str">
        <f ca="1">VLOOKUP(B647,Customer_Data!$A:$D,4,FALSE)</f>
        <v>Silver</v>
      </c>
    </row>
    <row r="648" spans="1:10" x14ac:dyDescent="0.35">
      <c r="A648" t="s">
        <v>895</v>
      </c>
      <c r="B648" t="str">
        <f t="shared" ca="1" si="40"/>
        <v>CUST133</v>
      </c>
      <c r="C648" s="1">
        <f t="shared" ca="1" si="41"/>
        <v>45840</v>
      </c>
      <c r="D648" t="s">
        <v>1252</v>
      </c>
      <c r="E648" t="s">
        <v>1257</v>
      </c>
      <c r="F648">
        <f t="shared" ca="1" si="42"/>
        <v>4</v>
      </c>
      <c r="G648">
        <v>120</v>
      </c>
      <c r="H648">
        <f t="shared" ca="1" si="43"/>
        <v>480</v>
      </c>
      <c r="I648" t="s">
        <v>213</v>
      </c>
      <c r="J648" t="str">
        <f ca="1">VLOOKUP(B648,Customer_Data!$A:$D,4,FALSE)</f>
        <v>Silver</v>
      </c>
    </row>
    <row r="649" spans="1:10" x14ac:dyDescent="0.35">
      <c r="A649" t="s">
        <v>896</v>
      </c>
      <c r="B649" t="str">
        <f t="shared" ca="1" si="40"/>
        <v>CUST126</v>
      </c>
      <c r="C649" s="1">
        <f t="shared" ca="1" si="41"/>
        <v>45895</v>
      </c>
      <c r="D649" t="s">
        <v>1250</v>
      </c>
      <c r="E649" t="s">
        <v>1255</v>
      </c>
      <c r="F649">
        <f t="shared" ca="1" si="42"/>
        <v>9</v>
      </c>
      <c r="G649">
        <v>60</v>
      </c>
      <c r="H649">
        <f t="shared" ca="1" si="43"/>
        <v>540</v>
      </c>
      <c r="I649" t="s">
        <v>211</v>
      </c>
      <c r="J649" t="str">
        <f ca="1">VLOOKUP(B649,Customer_Data!$A:$D,4,FALSE)</f>
        <v>Regular</v>
      </c>
    </row>
    <row r="650" spans="1:10" x14ac:dyDescent="0.35">
      <c r="A650" t="s">
        <v>897</v>
      </c>
      <c r="B650" t="str">
        <f t="shared" ca="1" si="40"/>
        <v>CUST093</v>
      </c>
      <c r="C650" s="1">
        <f t="shared" ca="1" si="41"/>
        <v>46009</v>
      </c>
      <c r="D650" t="s">
        <v>1253</v>
      </c>
      <c r="E650" t="s">
        <v>1258</v>
      </c>
      <c r="F650">
        <f t="shared" ca="1" si="42"/>
        <v>8</v>
      </c>
      <c r="G650">
        <v>90</v>
      </c>
      <c r="H650">
        <f t="shared" ca="1" si="43"/>
        <v>720</v>
      </c>
      <c r="I650" t="s">
        <v>212</v>
      </c>
      <c r="J650" t="str">
        <f ca="1">VLOOKUP(B650,Customer_Data!$A:$D,4,FALSE)</f>
        <v>Silver</v>
      </c>
    </row>
    <row r="651" spans="1:10" x14ac:dyDescent="0.35">
      <c r="A651" t="s">
        <v>898</v>
      </c>
      <c r="B651" t="str">
        <f t="shared" ca="1" si="40"/>
        <v>CUST021</v>
      </c>
      <c r="C651" s="1">
        <f t="shared" ca="1" si="41"/>
        <v>45976</v>
      </c>
      <c r="D651" t="s">
        <v>1253</v>
      </c>
      <c r="E651" t="s">
        <v>1258</v>
      </c>
      <c r="F651">
        <f t="shared" ca="1" si="42"/>
        <v>5</v>
      </c>
      <c r="G651">
        <v>90</v>
      </c>
      <c r="H651">
        <f t="shared" ca="1" si="43"/>
        <v>450</v>
      </c>
      <c r="I651" t="s">
        <v>211</v>
      </c>
      <c r="J651" t="str">
        <f ca="1">VLOOKUP(B651,Customer_Data!$A:$D,4,FALSE)</f>
        <v>Regular</v>
      </c>
    </row>
    <row r="652" spans="1:10" x14ac:dyDescent="0.35">
      <c r="A652" t="s">
        <v>899</v>
      </c>
      <c r="B652" t="str">
        <f t="shared" ca="1" si="40"/>
        <v>CUST198</v>
      </c>
      <c r="C652" s="1">
        <f t="shared" ca="1" si="41"/>
        <v>45993</v>
      </c>
      <c r="D652" t="s">
        <v>1250</v>
      </c>
      <c r="E652" t="s">
        <v>1255</v>
      </c>
      <c r="F652">
        <f t="shared" ca="1" si="42"/>
        <v>7</v>
      </c>
      <c r="G652">
        <v>60</v>
      </c>
      <c r="H652">
        <f t="shared" ca="1" si="43"/>
        <v>420</v>
      </c>
      <c r="I652" t="s">
        <v>212</v>
      </c>
      <c r="J652" t="str">
        <f ca="1">VLOOKUP(B652,Customer_Data!$A:$D,4,FALSE)</f>
        <v>Gold</v>
      </c>
    </row>
    <row r="653" spans="1:10" x14ac:dyDescent="0.35">
      <c r="A653" t="s">
        <v>900</v>
      </c>
      <c r="B653" t="str">
        <f t="shared" ca="1" si="40"/>
        <v>CUST028</v>
      </c>
      <c r="C653" s="1">
        <f t="shared" ca="1" si="41"/>
        <v>45966</v>
      </c>
      <c r="D653" t="s">
        <v>1252</v>
      </c>
      <c r="E653" t="s">
        <v>1257</v>
      </c>
      <c r="F653">
        <f t="shared" ca="1" si="42"/>
        <v>9</v>
      </c>
      <c r="G653">
        <v>120</v>
      </c>
      <c r="H653">
        <f t="shared" ca="1" si="43"/>
        <v>1080</v>
      </c>
      <c r="I653" t="s">
        <v>213</v>
      </c>
      <c r="J653" t="str">
        <f ca="1">VLOOKUP(B653,Customer_Data!$A:$D,4,FALSE)</f>
        <v>Regular</v>
      </c>
    </row>
    <row r="654" spans="1:10" x14ac:dyDescent="0.35">
      <c r="A654" t="s">
        <v>901</v>
      </c>
      <c r="B654" t="str">
        <f t="shared" ca="1" si="40"/>
        <v>CUST156</v>
      </c>
      <c r="C654" s="1">
        <f t="shared" ca="1" si="41"/>
        <v>45834</v>
      </c>
      <c r="D654" t="s">
        <v>1252</v>
      </c>
      <c r="E654" t="s">
        <v>1257</v>
      </c>
      <c r="F654">
        <f t="shared" ca="1" si="42"/>
        <v>7</v>
      </c>
      <c r="G654">
        <v>120</v>
      </c>
      <c r="H654">
        <f t="shared" ca="1" si="43"/>
        <v>840</v>
      </c>
      <c r="I654" t="s">
        <v>214</v>
      </c>
      <c r="J654" t="str">
        <f ca="1">VLOOKUP(B654,Customer_Data!$A:$D,4,FALSE)</f>
        <v>Silver</v>
      </c>
    </row>
    <row r="655" spans="1:10" x14ac:dyDescent="0.35">
      <c r="A655" t="s">
        <v>902</v>
      </c>
      <c r="B655" t="str">
        <f t="shared" ca="1" si="40"/>
        <v>CUST158</v>
      </c>
      <c r="C655" s="1">
        <f t="shared" ca="1" si="41"/>
        <v>45849</v>
      </c>
      <c r="D655" t="s">
        <v>1251</v>
      </c>
      <c r="E655" t="s">
        <v>1256</v>
      </c>
      <c r="F655">
        <f t="shared" ca="1" si="42"/>
        <v>4</v>
      </c>
      <c r="G655">
        <v>80</v>
      </c>
      <c r="H655">
        <f t="shared" ca="1" si="43"/>
        <v>320</v>
      </c>
      <c r="I655" t="s">
        <v>214</v>
      </c>
      <c r="J655" t="str">
        <f ca="1">VLOOKUP(B655,Customer_Data!$A:$D,4,FALSE)</f>
        <v>Gold</v>
      </c>
    </row>
    <row r="656" spans="1:10" x14ac:dyDescent="0.35">
      <c r="A656" t="s">
        <v>903</v>
      </c>
      <c r="B656" t="str">
        <f t="shared" ca="1" si="40"/>
        <v>CUST058</v>
      </c>
      <c r="C656" s="1">
        <f t="shared" ca="1" si="41"/>
        <v>45803</v>
      </c>
      <c r="D656" t="s">
        <v>1250</v>
      </c>
      <c r="E656" t="s">
        <v>1255</v>
      </c>
      <c r="F656">
        <f t="shared" ca="1" si="42"/>
        <v>6</v>
      </c>
      <c r="G656">
        <v>60</v>
      </c>
      <c r="H656">
        <f t="shared" ca="1" si="43"/>
        <v>360</v>
      </c>
      <c r="I656" t="s">
        <v>213</v>
      </c>
      <c r="J656" t="str">
        <f ca="1">VLOOKUP(B656,Customer_Data!$A:$D,4,FALSE)</f>
        <v>Gold</v>
      </c>
    </row>
    <row r="657" spans="1:10" x14ac:dyDescent="0.35">
      <c r="A657" t="s">
        <v>904</v>
      </c>
      <c r="B657" t="str">
        <f t="shared" ca="1" si="40"/>
        <v>CUST030</v>
      </c>
      <c r="C657" s="1">
        <f t="shared" ca="1" si="41"/>
        <v>45741</v>
      </c>
      <c r="D657" t="s">
        <v>1250</v>
      </c>
      <c r="E657" t="s">
        <v>1255</v>
      </c>
      <c r="F657">
        <f t="shared" ca="1" si="42"/>
        <v>1</v>
      </c>
      <c r="G657">
        <v>60</v>
      </c>
      <c r="H657">
        <f t="shared" ca="1" si="43"/>
        <v>60</v>
      </c>
      <c r="I657" t="s">
        <v>213</v>
      </c>
      <c r="J657" t="str">
        <f ca="1">VLOOKUP(B657,Customer_Data!$A:$D,4,FALSE)</f>
        <v>Regular</v>
      </c>
    </row>
    <row r="658" spans="1:10" x14ac:dyDescent="0.35">
      <c r="A658" t="s">
        <v>905</v>
      </c>
      <c r="B658" t="str">
        <f t="shared" ca="1" si="40"/>
        <v>CUST024</v>
      </c>
      <c r="C658" s="1">
        <f t="shared" ca="1" si="41"/>
        <v>45913</v>
      </c>
      <c r="D658" t="s">
        <v>1251</v>
      </c>
      <c r="E658" t="s">
        <v>1256</v>
      </c>
      <c r="F658">
        <f t="shared" ca="1" si="42"/>
        <v>7</v>
      </c>
      <c r="G658">
        <v>80</v>
      </c>
      <c r="H658">
        <f t="shared" ca="1" si="43"/>
        <v>560</v>
      </c>
      <c r="I658" t="s">
        <v>211</v>
      </c>
      <c r="J658" t="str">
        <f ca="1">VLOOKUP(B658,Customer_Data!$A:$D,4,FALSE)</f>
        <v>Regular</v>
      </c>
    </row>
    <row r="659" spans="1:10" x14ac:dyDescent="0.35">
      <c r="A659" t="s">
        <v>906</v>
      </c>
      <c r="B659" t="str">
        <f t="shared" ca="1" si="40"/>
        <v>CUST151</v>
      </c>
      <c r="C659" s="1">
        <f t="shared" ca="1" si="41"/>
        <v>45895</v>
      </c>
      <c r="D659" t="s">
        <v>1249</v>
      </c>
      <c r="E659" t="s">
        <v>1254</v>
      </c>
      <c r="F659">
        <f t="shared" ca="1" si="42"/>
        <v>7</v>
      </c>
      <c r="G659">
        <v>25</v>
      </c>
      <c r="H659">
        <f t="shared" ca="1" si="43"/>
        <v>175</v>
      </c>
      <c r="I659" t="s">
        <v>214</v>
      </c>
      <c r="J659" t="str">
        <f ca="1">VLOOKUP(B659,Customer_Data!$A:$D,4,FALSE)</f>
        <v>Regular</v>
      </c>
    </row>
    <row r="660" spans="1:10" x14ac:dyDescent="0.35">
      <c r="A660" t="s">
        <v>907</v>
      </c>
      <c r="B660" t="str">
        <f t="shared" ca="1" si="40"/>
        <v>CUST003</v>
      </c>
      <c r="C660" s="1">
        <f t="shared" ca="1" si="41"/>
        <v>45919</v>
      </c>
      <c r="D660" t="s">
        <v>1249</v>
      </c>
      <c r="E660" t="s">
        <v>1254</v>
      </c>
      <c r="F660">
        <f t="shared" ca="1" si="42"/>
        <v>7</v>
      </c>
      <c r="G660">
        <v>25</v>
      </c>
      <c r="H660">
        <f t="shared" ca="1" si="43"/>
        <v>175</v>
      </c>
      <c r="I660" t="s">
        <v>211</v>
      </c>
      <c r="J660" t="str">
        <f ca="1">VLOOKUP(B660,Customer_Data!$A:$D,4,FALSE)</f>
        <v>Regular</v>
      </c>
    </row>
    <row r="661" spans="1:10" x14ac:dyDescent="0.35">
      <c r="A661" t="s">
        <v>908</v>
      </c>
      <c r="B661" t="str">
        <f t="shared" ca="1" si="40"/>
        <v>CUST136</v>
      </c>
      <c r="C661" s="1">
        <f t="shared" ca="1" si="41"/>
        <v>45882</v>
      </c>
      <c r="D661" t="s">
        <v>1250</v>
      </c>
      <c r="E661" t="s">
        <v>1255</v>
      </c>
      <c r="F661">
        <f t="shared" ca="1" si="42"/>
        <v>7</v>
      </c>
      <c r="G661">
        <v>60</v>
      </c>
      <c r="H661">
        <f t="shared" ca="1" si="43"/>
        <v>420</v>
      </c>
      <c r="I661" t="s">
        <v>214</v>
      </c>
      <c r="J661" t="str">
        <f ca="1">VLOOKUP(B661,Customer_Data!$A:$D,4,FALSE)</f>
        <v>Silver</v>
      </c>
    </row>
    <row r="662" spans="1:10" x14ac:dyDescent="0.35">
      <c r="A662" t="s">
        <v>909</v>
      </c>
      <c r="B662" t="str">
        <f t="shared" ca="1" si="40"/>
        <v>CUST092</v>
      </c>
      <c r="C662" s="1">
        <f t="shared" ca="1" si="41"/>
        <v>45905</v>
      </c>
      <c r="D662" t="s">
        <v>1251</v>
      </c>
      <c r="E662" t="s">
        <v>1256</v>
      </c>
      <c r="F662">
        <f t="shared" ca="1" si="42"/>
        <v>2</v>
      </c>
      <c r="G662">
        <v>80</v>
      </c>
      <c r="H662">
        <f t="shared" ca="1" si="43"/>
        <v>160</v>
      </c>
      <c r="I662" t="s">
        <v>214</v>
      </c>
      <c r="J662" t="str">
        <f ca="1">VLOOKUP(B662,Customer_Data!$A:$D,4,FALSE)</f>
        <v>Regular</v>
      </c>
    </row>
    <row r="663" spans="1:10" x14ac:dyDescent="0.35">
      <c r="A663" t="s">
        <v>910</v>
      </c>
      <c r="B663" t="str">
        <f t="shared" ca="1" si="40"/>
        <v>CUST127</v>
      </c>
      <c r="C663" s="1">
        <f t="shared" ca="1" si="41"/>
        <v>45962</v>
      </c>
      <c r="D663" t="s">
        <v>1250</v>
      </c>
      <c r="E663" t="s">
        <v>1255</v>
      </c>
      <c r="F663">
        <f t="shared" ca="1" si="42"/>
        <v>2</v>
      </c>
      <c r="G663">
        <v>60</v>
      </c>
      <c r="H663">
        <f t="shared" ca="1" si="43"/>
        <v>120</v>
      </c>
      <c r="I663" t="s">
        <v>211</v>
      </c>
      <c r="J663" t="str">
        <f ca="1">VLOOKUP(B663,Customer_Data!$A:$D,4,FALSE)</f>
        <v>Regular</v>
      </c>
    </row>
    <row r="664" spans="1:10" x14ac:dyDescent="0.35">
      <c r="A664" t="s">
        <v>911</v>
      </c>
      <c r="B664" t="str">
        <f t="shared" ca="1" si="40"/>
        <v>CUST059</v>
      </c>
      <c r="C664" s="1">
        <f t="shared" ca="1" si="41"/>
        <v>45801</v>
      </c>
      <c r="D664" t="s">
        <v>1251</v>
      </c>
      <c r="E664" t="s">
        <v>1256</v>
      </c>
      <c r="F664">
        <f t="shared" ca="1" si="42"/>
        <v>1</v>
      </c>
      <c r="G664">
        <v>80</v>
      </c>
      <c r="H664">
        <f t="shared" ca="1" si="43"/>
        <v>80</v>
      </c>
      <c r="I664" t="s">
        <v>214</v>
      </c>
      <c r="J664" t="str">
        <f ca="1">VLOOKUP(B664,Customer_Data!$A:$D,4,FALSE)</f>
        <v>Gold</v>
      </c>
    </row>
    <row r="665" spans="1:10" x14ac:dyDescent="0.35">
      <c r="A665" t="s">
        <v>912</v>
      </c>
      <c r="B665" t="str">
        <f t="shared" ca="1" si="40"/>
        <v>CUST195</v>
      </c>
      <c r="C665" s="1">
        <f t="shared" ca="1" si="41"/>
        <v>45712</v>
      </c>
      <c r="D665" t="s">
        <v>1251</v>
      </c>
      <c r="E665" t="s">
        <v>1256</v>
      </c>
      <c r="F665">
        <f t="shared" ca="1" si="42"/>
        <v>7</v>
      </c>
      <c r="G665">
        <v>80</v>
      </c>
      <c r="H665">
        <f t="shared" ca="1" si="43"/>
        <v>560</v>
      </c>
      <c r="I665" t="s">
        <v>212</v>
      </c>
      <c r="J665" t="str">
        <f ca="1">VLOOKUP(B665,Customer_Data!$A:$D,4,FALSE)</f>
        <v>Silver</v>
      </c>
    </row>
    <row r="666" spans="1:10" x14ac:dyDescent="0.35">
      <c r="A666" t="s">
        <v>913</v>
      </c>
      <c r="B666" t="str">
        <f t="shared" ca="1" si="40"/>
        <v>CUST091</v>
      </c>
      <c r="C666" s="1">
        <f t="shared" ca="1" si="41"/>
        <v>45933</v>
      </c>
      <c r="D666" t="s">
        <v>1251</v>
      </c>
      <c r="E666" t="s">
        <v>1256</v>
      </c>
      <c r="F666">
        <f t="shared" ca="1" si="42"/>
        <v>10</v>
      </c>
      <c r="G666">
        <v>80</v>
      </c>
      <c r="H666">
        <f t="shared" ca="1" si="43"/>
        <v>800</v>
      </c>
      <c r="I666" t="s">
        <v>211</v>
      </c>
      <c r="J666" t="str">
        <f ca="1">VLOOKUP(B666,Customer_Data!$A:$D,4,FALSE)</f>
        <v>Regular</v>
      </c>
    </row>
    <row r="667" spans="1:10" x14ac:dyDescent="0.35">
      <c r="A667" t="s">
        <v>914</v>
      </c>
      <c r="B667" t="str">
        <f t="shared" ca="1" si="40"/>
        <v>CUST041</v>
      </c>
      <c r="C667" s="1">
        <f t="shared" ca="1" si="41"/>
        <v>45903</v>
      </c>
      <c r="D667" t="s">
        <v>1251</v>
      </c>
      <c r="E667" t="s">
        <v>1256</v>
      </c>
      <c r="F667">
        <f t="shared" ca="1" si="42"/>
        <v>3</v>
      </c>
      <c r="G667">
        <v>80</v>
      </c>
      <c r="H667">
        <f t="shared" ca="1" si="43"/>
        <v>240</v>
      </c>
      <c r="I667" t="s">
        <v>214</v>
      </c>
      <c r="J667" t="str">
        <f ca="1">VLOOKUP(B667,Customer_Data!$A:$D,4,FALSE)</f>
        <v>Regular</v>
      </c>
    </row>
    <row r="668" spans="1:10" x14ac:dyDescent="0.35">
      <c r="A668" t="s">
        <v>915</v>
      </c>
      <c r="B668" t="str">
        <f t="shared" ca="1" si="40"/>
        <v>CUST011</v>
      </c>
      <c r="C668" s="1">
        <f t="shared" ca="1" si="41"/>
        <v>46004</v>
      </c>
      <c r="D668" t="s">
        <v>1250</v>
      </c>
      <c r="E668" t="s">
        <v>1255</v>
      </c>
      <c r="F668">
        <f t="shared" ca="1" si="42"/>
        <v>5</v>
      </c>
      <c r="G668">
        <v>60</v>
      </c>
      <c r="H668">
        <f t="shared" ca="1" si="43"/>
        <v>300</v>
      </c>
      <c r="I668" t="s">
        <v>212</v>
      </c>
      <c r="J668" t="str">
        <f ca="1">VLOOKUP(B668,Customer_Data!$A:$D,4,FALSE)</f>
        <v>Regular</v>
      </c>
    </row>
    <row r="669" spans="1:10" x14ac:dyDescent="0.35">
      <c r="A669" t="s">
        <v>916</v>
      </c>
      <c r="B669" t="str">
        <f t="shared" ca="1" si="40"/>
        <v>CUST159</v>
      </c>
      <c r="C669" s="1">
        <f t="shared" ca="1" si="41"/>
        <v>45970</v>
      </c>
      <c r="D669" t="s">
        <v>1253</v>
      </c>
      <c r="E669" t="s">
        <v>1258</v>
      </c>
      <c r="F669">
        <f t="shared" ca="1" si="42"/>
        <v>6</v>
      </c>
      <c r="G669">
        <v>90</v>
      </c>
      <c r="H669">
        <f t="shared" ca="1" si="43"/>
        <v>540</v>
      </c>
      <c r="I669" t="s">
        <v>214</v>
      </c>
      <c r="J669" t="str">
        <f ca="1">VLOOKUP(B669,Customer_Data!$A:$D,4,FALSE)</f>
        <v>Gold</v>
      </c>
    </row>
    <row r="670" spans="1:10" x14ac:dyDescent="0.35">
      <c r="A670" t="s">
        <v>917</v>
      </c>
      <c r="B670" t="str">
        <f t="shared" ca="1" si="40"/>
        <v>CUST010</v>
      </c>
      <c r="C670" s="1">
        <f t="shared" ca="1" si="41"/>
        <v>45915</v>
      </c>
      <c r="D670" t="s">
        <v>1249</v>
      </c>
      <c r="E670" t="s">
        <v>1254</v>
      </c>
      <c r="F670">
        <f t="shared" ca="1" si="42"/>
        <v>10</v>
      </c>
      <c r="G670">
        <v>25</v>
      </c>
      <c r="H670">
        <f t="shared" ca="1" si="43"/>
        <v>250</v>
      </c>
      <c r="I670" t="s">
        <v>212</v>
      </c>
      <c r="J670" t="str">
        <f ca="1">VLOOKUP(B670,Customer_Data!$A:$D,4,FALSE)</f>
        <v>Regular</v>
      </c>
    </row>
    <row r="671" spans="1:10" x14ac:dyDescent="0.35">
      <c r="A671" t="s">
        <v>918</v>
      </c>
      <c r="B671" t="str">
        <f t="shared" ca="1" si="40"/>
        <v>CUST037</v>
      </c>
      <c r="C671" s="1">
        <f t="shared" ca="1" si="41"/>
        <v>45740</v>
      </c>
      <c r="D671" t="s">
        <v>1253</v>
      </c>
      <c r="E671" t="s">
        <v>1258</v>
      </c>
      <c r="F671">
        <f t="shared" ca="1" si="42"/>
        <v>8</v>
      </c>
      <c r="G671">
        <v>90</v>
      </c>
      <c r="H671">
        <f t="shared" ca="1" si="43"/>
        <v>720</v>
      </c>
      <c r="I671" t="s">
        <v>212</v>
      </c>
      <c r="J671" t="str">
        <f ca="1">VLOOKUP(B671,Customer_Data!$A:$D,4,FALSE)</f>
        <v>Silver</v>
      </c>
    </row>
    <row r="672" spans="1:10" x14ac:dyDescent="0.35">
      <c r="A672" t="s">
        <v>919</v>
      </c>
      <c r="B672" t="str">
        <f t="shared" ca="1" si="40"/>
        <v>CUST100</v>
      </c>
      <c r="C672" s="1">
        <f t="shared" ca="1" si="41"/>
        <v>45771</v>
      </c>
      <c r="D672" t="s">
        <v>1249</v>
      </c>
      <c r="E672" t="s">
        <v>1254</v>
      </c>
      <c r="F672">
        <f t="shared" ca="1" si="42"/>
        <v>5</v>
      </c>
      <c r="G672">
        <v>25</v>
      </c>
      <c r="H672">
        <f t="shared" ca="1" si="43"/>
        <v>125</v>
      </c>
      <c r="I672" t="s">
        <v>211</v>
      </c>
      <c r="J672" t="str">
        <f ca="1">VLOOKUP(B672,Customer_Data!$A:$D,4,FALSE)</f>
        <v>Gold</v>
      </c>
    </row>
    <row r="673" spans="1:10" x14ac:dyDescent="0.35">
      <c r="A673" t="s">
        <v>920</v>
      </c>
      <c r="B673" t="str">
        <f t="shared" ca="1" si="40"/>
        <v>CUST167</v>
      </c>
      <c r="C673" s="1">
        <f t="shared" ca="1" si="41"/>
        <v>45937</v>
      </c>
      <c r="D673" t="s">
        <v>1249</v>
      </c>
      <c r="E673" t="s">
        <v>1254</v>
      </c>
      <c r="F673">
        <f t="shared" ca="1" si="42"/>
        <v>9</v>
      </c>
      <c r="G673">
        <v>25</v>
      </c>
      <c r="H673">
        <f t="shared" ca="1" si="43"/>
        <v>225</v>
      </c>
      <c r="I673" t="s">
        <v>213</v>
      </c>
      <c r="J673" t="str">
        <f ca="1">VLOOKUP(B673,Customer_Data!$A:$D,4,FALSE)</f>
        <v>Regular</v>
      </c>
    </row>
    <row r="674" spans="1:10" x14ac:dyDescent="0.35">
      <c r="A674" t="s">
        <v>921</v>
      </c>
      <c r="B674" t="str">
        <f t="shared" ca="1" si="40"/>
        <v>CUST157</v>
      </c>
      <c r="C674" s="1">
        <f t="shared" ca="1" si="41"/>
        <v>45969</v>
      </c>
      <c r="D674" t="s">
        <v>1253</v>
      </c>
      <c r="E674" t="s">
        <v>1258</v>
      </c>
      <c r="F674">
        <f t="shared" ca="1" si="42"/>
        <v>1</v>
      </c>
      <c r="G674">
        <v>90</v>
      </c>
      <c r="H674">
        <f t="shared" ca="1" si="43"/>
        <v>90</v>
      </c>
      <c r="I674" t="s">
        <v>214</v>
      </c>
      <c r="J674" t="str">
        <f ca="1">VLOOKUP(B674,Customer_Data!$A:$D,4,FALSE)</f>
        <v>Silver</v>
      </c>
    </row>
    <row r="675" spans="1:10" x14ac:dyDescent="0.35">
      <c r="A675" t="s">
        <v>922</v>
      </c>
      <c r="B675" t="str">
        <f t="shared" ca="1" si="40"/>
        <v>CUST001</v>
      </c>
      <c r="C675" s="1">
        <f t="shared" ca="1" si="41"/>
        <v>46000</v>
      </c>
      <c r="D675" t="s">
        <v>1252</v>
      </c>
      <c r="E675" t="s">
        <v>1257</v>
      </c>
      <c r="F675">
        <f t="shared" ca="1" si="42"/>
        <v>1</v>
      </c>
      <c r="G675">
        <v>120</v>
      </c>
      <c r="H675">
        <f t="shared" ca="1" si="43"/>
        <v>120</v>
      </c>
      <c r="I675" t="s">
        <v>211</v>
      </c>
      <c r="J675" t="str">
        <f ca="1">VLOOKUP(B675,Customer_Data!$A:$D,4,FALSE)</f>
        <v>Regular</v>
      </c>
    </row>
    <row r="676" spans="1:10" x14ac:dyDescent="0.35">
      <c r="A676" t="s">
        <v>923</v>
      </c>
      <c r="B676" t="str">
        <f t="shared" ca="1" si="40"/>
        <v>CUST115</v>
      </c>
      <c r="C676" s="1">
        <f t="shared" ca="1" si="41"/>
        <v>45755</v>
      </c>
      <c r="D676" t="s">
        <v>1251</v>
      </c>
      <c r="E676" t="s">
        <v>1256</v>
      </c>
      <c r="F676">
        <f t="shared" ca="1" si="42"/>
        <v>2</v>
      </c>
      <c r="G676">
        <v>80</v>
      </c>
      <c r="H676">
        <f t="shared" ca="1" si="43"/>
        <v>160</v>
      </c>
      <c r="I676" t="s">
        <v>213</v>
      </c>
      <c r="J676" t="str">
        <f ca="1">VLOOKUP(B676,Customer_Data!$A:$D,4,FALSE)</f>
        <v>Silver</v>
      </c>
    </row>
    <row r="677" spans="1:10" x14ac:dyDescent="0.35">
      <c r="A677" t="s">
        <v>924</v>
      </c>
      <c r="B677" t="str">
        <f t="shared" ca="1" si="40"/>
        <v>CUST053</v>
      </c>
      <c r="C677" s="1">
        <f t="shared" ca="1" si="41"/>
        <v>45933</v>
      </c>
      <c r="D677" t="s">
        <v>1249</v>
      </c>
      <c r="E677" t="s">
        <v>1254</v>
      </c>
      <c r="F677">
        <f t="shared" ca="1" si="42"/>
        <v>6</v>
      </c>
      <c r="G677">
        <v>25</v>
      </c>
      <c r="H677">
        <f t="shared" ca="1" si="43"/>
        <v>150</v>
      </c>
      <c r="I677" t="s">
        <v>214</v>
      </c>
      <c r="J677" t="str">
        <f ca="1">VLOOKUP(B677,Customer_Data!$A:$D,4,FALSE)</f>
        <v>Silver</v>
      </c>
    </row>
    <row r="678" spans="1:10" x14ac:dyDescent="0.35">
      <c r="A678" t="s">
        <v>925</v>
      </c>
      <c r="B678" t="str">
        <f t="shared" ca="1" si="40"/>
        <v>CUST099</v>
      </c>
      <c r="C678" s="1">
        <f t="shared" ca="1" si="41"/>
        <v>45687</v>
      </c>
      <c r="D678" t="s">
        <v>1252</v>
      </c>
      <c r="E678" t="s">
        <v>1257</v>
      </c>
      <c r="F678">
        <f t="shared" ca="1" si="42"/>
        <v>5</v>
      </c>
      <c r="G678">
        <v>120</v>
      </c>
      <c r="H678">
        <f t="shared" ca="1" si="43"/>
        <v>600</v>
      </c>
      <c r="I678" t="s">
        <v>212</v>
      </c>
      <c r="J678" t="str">
        <f ca="1">VLOOKUP(B678,Customer_Data!$A:$D,4,FALSE)</f>
        <v>Gold</v>
      </c>
    </row>
    <row r="679" spans="1:10" x14ac:dyDescent="0.35">
      <c r="A679" t="s">
        <v>926</v>
      </c>
      <c r="B679" t="str">
        <f t="shared" ca="1" si="40"/>
        <v>CUST179</v>
      </c>
      <c r="C679" s="1">
        <f t="shared" ca="1" si="41"/>
        <v>45759</v>
      </c>
      <c r="D679" t="s">
        <v>1251</v>
      </c>
      <c r="E679" t="s">
        <v>1256</v>
      </c>
      <c r="F679">
        <f t="shared" ca="1" si="42"/>
        <v>4</v>
      </c>
      <c r="G679">
        <v>80</v>
      </c>
      <c r="H679">
        <f t="shared" ca="1" si="43"/>
        <v>320</v>
      </c>
      <c r="I679" t="s">
        <v>213</v>
      </c>
      <c r="J679" t="str">
        <f ca="1">VLOOKUP(B679,Customer_Data!$A:$D,4,FALSE)</f>
        <v>Gold</v>
      </c>
    </row>
    <row r="680" spans="1:10" x14ac:dyDescent="0.35">
      <c r="A680" t="s">
        <v>927</v>
      </c>
      <c r="B680" t="str">
        <f t="shared" ca="1" si="40"/>
        <v>CUST148</v>
      </c>
      <c r="C680" s="1">
        <f t="shared" ca="1" si="41"/>
        <v>46015</v>
      </c>
      <c r="D680" t="s">
        <v>1253</v>
      </c>
      <c r="E680" t="s">
        <v>1258</v>
      </c>
      <c r="F680">
        <f t="shared" ca="1" si="42"/>
        <v>3</v>
      </c>
      <c r="G680">
        <v>90</v>
      </c>
      <c r="H680">
        <f t="shared" ca="1" si="43"/>
        <v>270</v>
      </c>
      <c r="I680" t="s">
        <v>213</v>
      </c>
      <c r="J680" t="str">
        <f ca="1">VLOOKUP(B680,Customer_Data!$A:$D,4,FALSE)</f>
        <v>Regular</v>
      </c>
    </row>
    <row r="681" spans="1:10" x14ac:dyDescent="0.35">
      <c r="A681" t="s">
        <v>928</v>
      </c>
      <c r="B681" t="str">
        <f t="shared" ca="1" si="40"/>
        <v>CUST153</v>
      </c>
      <c r="C681" s="1">
        <f t="shared" ca="1" si="41"/>
        <v>45692</v>
      </c>
      <c r="D681" t="s">
        <v>1253</v>
      </c>
      <c r="E681" t="s">
        <v>1258</v>
      </c>
      <c r="F681">
        <f t="shared" ca="1" si="42"/>
        <v>7</v>
      </c>
      <c r="G681">
        <v>90</v>
      </c>
      <c r="H681">
        <f t="shared" ca="1" si="43"/>
        <v>630</v>
      </c>
      <c r="I681" t="s">
        <v>212</v>
      </c>
      <c r="J681" t="str">
        <f ca="1">VLOOKUP(B681,Customer_Data!$A:$D,4,FALSE)</f>
        <v>Silver</v>
      </c>
    </row>
    <row r="682" spans="1:10" x14ac:dyDescent="0.35">
      <c r="A682" t="s">
        <v>929</v>
      </c>
      <c r="B682" t="str">
        <f t="shared" ca="1" si="40"/>
        <v>CUST004</v>
      </c>
      <c r="C682" s="1">
        <f t="shared" ca="1" si="41"/>
        <v>45676</v>
      </c>
      <c r="D682" t="s">
        <v>1252</v>
      </c>
      <c r="E682" t="s">
        <v>1257</v>
      </c>
      <c r="F682">
        <f t="shared" ca="1" si="42"/>
        <v>1</v>
      </c>
      <c r="G682">
        <v>120</v>
      </c>
      <c r="H682">
        <f t="shared" ca="1" si="43"/>
        <v>120</v>
      </c>
      <c r="I682" t="s">
        <v>214</v>
      </c>
      <c r="J682" t="str">
        <f ca="1">VLOOKUP(B682,Customer_Data!$A:$D,4,FALSE)</f>
        <v>Regular</v>
      </c>
    </row>
    <row r="683" spans="1:10" x14ac:dyDescent="0.35">
      <c r="A683" t="s">
        <v>930</v>
      </c>
      <c r="B683" t="str">
        <f t="shared" ca="1" si="40"/>
        <v>CUST081</v>
      </c>
      <c r="C683" s="1">
        <f t="shared" ca="1" si="41"/>
        <v>45865</v>
      </c>
      <c r="D683" t="s">
        <v>1250</v>
      </c>
      <c r="E683" t="s">
        <v>1255</v>
      </c>
      <c r="F683">
        <f t="shared" ca="1" si="42"/>
        <v>6</v>
      </c>
      <c r="G683">
        <v>60</v>
      </c>
      <c r="H683">
        <f t="shared" ca="1" si="43"/>
        <v>360</v>
      </c>
      <c r="I683" t="s">
        <v>211</v>
      </c>
      <c r="J683" t="str">
        <f ca="1">VLOOKUP(B683,Customer_Data!$A:$D,4,FALSE)</f>
        <v>Regular</v>
      </c>
    </row>
    <row r="684" spans="1:10" x14ac:dyDescent="0.35">
      <c r="A684" t="s">
        <v>931</v>
      </c>
      <c r="B684" t="str">
        <f t="shared" ca="1" si="40"/>
        <v>CUST103</v>
      </c>
      <c r="C684" s="1">
        <f t="shared" ca="1" si="41"/>
        <v>45913</v>
      </c>
      <c r="D684" t="s">
        <v>1252</v>
      </c>
      <c r="E684" t="s">
        <v>1257</v>
      </c>
      <c r="F684">
        <f t="shared" ca="1" si="42"/>
        <v>7</v>
      </c>
      <c r="G684">
        <v>120</v>
      </c>
      <c r="H684">
        <f t="shared" ca="1" si="43"/>
        <v>840</v>
      </c>
      <c r="I684" t="s">
        <v>214</v>
      </c>
      <c r="J684" t="str">
        <f ca="1">VLOOKUP(B684,Customer_Data!$A:$D,4,FALSE)</f>
        <v>Regular</v>
      </c>
    </row>
    <row r="685" spans="1:10" x14ac:dyDescent="0.35">
      <c r="A685" t="s">
        <v>932</v>
      </c>
      <c r="B685" t="str">
        <f t="shared" ca="1" si="40"/>
        <v>CUST172</v>
      </c>
      <c r="C685" s="1">
        <f t="shared" ca="1" si="41"/>
        <v>45738</v>
      </c>
      <c r="D685" t="s">
        <v>1250</v>
      </c>
      <c r="E685" t="s">
        <v>1255</v>
      </c>
      <c r="F685">
        <f t="shared" ca="1" si="42"/>
        <v>2</v>
      </c>
      <c r="G685">
        <v>60</v>
      </c>
      <c r="H685">
        <f t="shared" ca="1" si="43"/>
        <v>120</v>
      </c>
      <c r="I685" t="s">
        <v>211</v>
      </c>
      <c r="J685" t="str">
        <f ca="1">VLOOKUP(B685,Customer_Data!$A:$D,4,FALSE)</f>
        <v>Regular</v>
      </c>
    </row>
    <row r="686" spans="1:10" x14ac:dyDescent="0.35">
      <c r="A686" t="s">
        <v>933</v>
      </c>
      <c r="B686" t="str">
        <f t="shared" ca="1" si="40"/>
        <v>CUST070</v>
      </c>
      <c r="C686" s="1">
        <f t="shared" ca="1" si="41"/>
        <v>45870</v>
      </c>
      <c r="D686" t="s">
        <v>1249</v>
      </c>
      <c r="E686" t="s">
        <v>1254</v>
      </c>
      <c r="F686">
        <f t="shared" ca="1" si="42"/>
        <v>8</v>
      </c>
      <c r="G686">
        <v>25</v>
      </c>
      <c r="H686">
        <f t="shared" ca="1" si="43"/>
        <v>200</v>
      </c>
      <c r="I686" t="s">
        <v>211</v>
      </c>
      <c r="J686" t="str">
        <f ca="1">VLOOKUP(B686,Customer_Data!$A:$D,4,FALSE)</f>
        <v>Regular</v>
      </c>
    </row>
    <row r="687" spans="1:10" x14ac:dyDescent="0.35">
      <c r="A687" t="s">
        <v>934</v>
      </c>
      <c r="B687" t="str">
        <f t="shared" ca="1" si="40"/>
        <v>CUST135</v>
      </c>
      <c r="C687" s="1">
        <f t="shared" ca="1" si="41"/>
        <v>45965</v>
      </c>
      <c r="D687" t="s">
        <v>1253</v>
      </c>
      <c r="E687" t="s">
        <v>1258</v>
      </c>
      <c r="F687">
        <f t="shared" ca="1" si="42"/>
        <v>4</v>
      </c>
      <c r="G687">
        <v>90</v>
      </c>
      <c r="H687">
        <f t="shared" ca="1" si="43"/>
        <v>360</v>
      </c>
      <c r="I687" t="s">
        <v>212</v>
      </c>
      <c r="J687" t="str">
        <f ca="1">VLOOKUP(B687,Customer_Data!$A:$D,4,FALSE)</f>
        <v>Silver</v>
      </c>
    </row>
    <row r="688" spans="1:10" x14ac:dyDescent="0.35">
      <c r="A688" t="s">
        <v>935</v>
      </c>
      <c r="B688" t="str">
        <f t="shared" ca="1" si="40"/>
        <v>CUST088</v>
      </c>
      <c r="C688" s="1">
        <f t="shared" ca="1" si="41"/>
        <v>45661</v>
      </c>
      <c r="D688" t="s">
        <v>1249</v>
      </c>
      <c r="E688" t="s">
        <v>1254</v>
      </c>
      <c r="F688">
        <f t="shared" ca="1" si="42"/>
        <v>4</v>
      </c>
      <c r="G688">
        <v>25</v>
      </c>
      <c r="H688">
        <f t="shared" ca="1" si="43"/>
        <v>100</v>
      </c>
      <c r="I688" t="s">
        <v>214</v>
      </c>
      <c r="J688" t="str">
        <f ca="1">VLOOKUP(B688,Customer_Data!$A:$D,4,FALSE)</f>
        <v>Regular</v>
      </c>
    </row>
    <row r="689" spans="1:10" x14ac:dyDescent="0.35">
      <c r="A689" t="s">
        <v>936</v>
      </c>
      <c r="B689" t="str">
        <f t="shared" ca="1" si="40"/>
        <v>CUST060</v>
      </c>
      <c r="C689" s="1">
        <f t="shared" ca="1" si="41"/>
        <v>45855</v>
      </c>
      <c r="D689" t="s">
        <v>1253</v>
      </c>
      <c r="E689" t="s">
        <v>1258</v>
      </c>
      <c r="F689">
        <f t="shared" ca="1" si="42"/>
        <v>2</v>
      </c>
      <c r="G689">
        <v>90</v>
      </c>
      <c r="H689">
        <f t="shared" ca="1" si="43"/>
        <v>180</v>
      </c>
      <c r="I689" t="s">
        <v>213</v>
      </c>
      <c r="J689" t="str">
        <f ca="1">VLOOKUP(B689,Customer_Data!$A:$D,4,FALSE)</f>
        <v>Gold</v>
      </c>
    </row>
    <row r="690" spans="1:10" x14ac:dyDescent="0.35">
      <c r="A690" t="s">
        <v>937</v>
      </c>
      <c r="B690" t="str">
        <f t="shared" ca="1" si="40"/>
        <v>CUST151</v>
      </c>
      <c r="C690" s="1">
        <f t="shared" ca="1" si="41"/>
        <v>45703</v>
      </c>
      <c r="D690" t="s">
        <v>1252</v>
      </c>
      <c r="E690" t="s">
        <v>1257</v>
      </c>
      <c r="F690">
        <f t="shared" ca="1" si="42"/>
        <v>4</v>
      </c>
      <c r="G690">
        <v>120</v>
      </c>
      <c r="H690">
        <f t="shared" ca="1" si="43"/>
        <v>480</v>
      </c>
      <c r="I690" t="s">
        <v>211</v>
      </c>
      <c r="J690" t="str">
        <f ca="1">VLOOKUP(B690,Customer_Data!$A:$D,4,FALSE)</f>
        <v>Regular</v>
      </c>
    </row>
    <row r="691" spans="1:10" x14ac:dyDescent="0.35">
      <c r="A691" t="s">
        <v>938</v>
      </c>
      <c r="B691" t="str">
        <f t="shared" ca="1" si="40"/>
        <v>CUST050</v>
      </c>
      <c r="C691" s="1">
        <f t="shared" ca="1" si="41"/>
        <v>45707</v>
      </c>
      <c r="D691" t="s">
        <v>1250</v>
      </c>
      <c r="E691" t="s">
        <v>1255</v>
      </c>
      <c r="F691">
        <f t="shared" ca="1" si="42"/>
        <v>3</v>
      </c>
      <c r="G691">
        <v>60</v>
      </c>
      <c r="H691">
        <f t="shared" ca="1" si="43"/>
        <v>180</v>
      </c>
      <c r="I691" t="s">
        <v>214</v>
      </c>
      <c r="J691" t="str">
        <f ca="1">VLOOKUP(B691,Customer_Data!$A:$D,4,FALSE)</f>
        <v>Regular</v>
      </c>
    </row>
    <row r="692" spans="1:10" x14ac:dyDescent="0.35">
      <c r="A692" t="s">
        <v>939</v>
      </c>
      <c r="B692" t="str">
        <f t="shared" ca="1" si="40"/>
        <v>CUST106</v>
      </c>
      <c r="C692" s="1">
        <f t="shared" ca="1" si="41"/>
        <v>45859</v>
      </c>
      <c r="D692" t="s">
        <v>1250</v>
      </c>
      <c r="E692" t="s">
        <v>1255</v>
      </c>
      <c r="F692">
        <f t="shared" ca="1" si="42"/>
        <v>3</v>
      </c>
      <c r="G692">
        <v>60</v>
      </c>
      <c r="H692">
        <f t="shared" ca="1" si="43"/>
        <v>180</v>
      </c>
      <c r="I692" t="s">
        <v>213</v>
      </c>
      <c r="J692" t="str">
        <f ca="1">VLOOKUP(B692,Customer_Data!$A:$D,4,FALSE)</f>
        <v>Regular</v>
      </c>
    </row>
    <row r="693" spans="1:10" x14ac:dyDescent="0.35">
      <c r="A693" t="s">
        <v>940</v>
      </c>
      <c r="B693" t="str">
        <f t="shared" ca="1" si="40"/>
        <v>CUST156</v>
      </c>
      <c r="C693" s="1">
        <f t="shared" ca="1" si="41"/>
        <v>45930</v>
      </c>
      <c r="D693" t="s">
        <v>1252</v>
      </c>
      <c r="E693" t="s">
        <v>1257</v>
      </c>
      <c r="F693">
        <f t="shared" ca="1" si="42"/>
        <v>10</v>
      </c>
      <c r="G693">
        <v>120</v>
      </c>
      <c r="H693">
        <f t="shared" ca="1" si="43"/>
        <v>1200</v>
      </c>
      <c r="I693" t="s">
        <v>213</v>
      </c>
      <c r="J693" t="str">
        <f ca="1">VLOOKUP(B693,Customer_Data!$A:$D,4,FALSE)</f>
        <v>Silver</v>
      </c>
    </row>
    <row r="694" spans="1:10" x14ac:dyDescent="0.35">
      <c r="A694" t="s">
        <v>941</v>
      </c>
      <c r="B694" t="str">
        <f t="shared" ca="1" si="40"/>
        <v>CUST146</v>
      </c>
      <c r="C694" s="1">
        <f t="shared" ca="1" si="41"/>
        <v>45959</v>
      </c>
      <c r="D694" t="s">
        <v>1253</v>
      </c>
      <c r="E694" t="s">
        <v>1258</v>
      </c>
      <c r="F694">
        <f t="shared" ca="1" si="42"/>
        <v>10</v>
      </c>
      <c r="G694">
        <v>90</v>
      </c>
      <c r="H694">
        <f t="shared" ca="1" si="43"/>
        <v>900</v>
      </c>
      <c r="I694" t="s">
        <v>214</v>
      </c>
      <c r="J694" t="str">
        <f ca="1">VLOOKUP(B694,Customer_Data!$A:$D,4,FALSE)</f>
        <v>Regular</v>
      </c>
    </row>
    <row r="695" spans="1:10" x14ac:dyDescent="0.35">
      <c r="A695" t="s">
        <v>942</v>
      </c>
      <c r="B695" t="str">
        <f t="shared" ca="1" si="40"/>
        <v>CUST114</v>
      </c>
      <c r="C695" s="1">
        <f t="shared" ca="1" si="41"/>
        <v>45975</v>
      </c>
      <c r="D695" t="s">
        <v>1251</v>
      </c>
      <c r="E695" t="s">
        <v>1256</v>
      </c>
      <c r="F695">
        <f t="shared" ca="1" si="42"/>
        <v>10</v>
      </c>
      <c r="G695">
        <v>80</v>
      </c>
      <c r="H695">
        <f t="shared" ca="1" si="43"/>
        <v>800</v>
      </c>
      <c r="I695" t="s">
        <v>214</v>
      </c>
      <c r="J695" t="str">
        <f ca="1">VLOOKUP(B695,Customer_Data!$A:$D,4,FALSE)</f>
        <v>Silver</v>
      </c>
    </row>
    <row r="696" spans="1:10" x14ac:dyDescent="0.35">
      <c r="A696" t="s">
        <v>943</v>
      </c>
      <c r="B696" t="str">
        <f t="shared" ca="1" si="40"/>
        <v>CUST037</v>
      </c>
      <c r="C696" s="1">
        <f t="shared" ca="1" si="41"/>
        <v>45910</v>
      </c>
      <c r="D696" t="s">
        <v>1253</v>
      </c>
      <c r="E696" t="s">
        <v>1258</v>
      </c>
      <c r="F696">
        <f t="shared" ca="1" si="42"/>
        <v>5</v>
      </c>
      <c r="G696">
        <v>90</v>
      </c>
      <c r="H696">
        <f t="shared" ca="1" si="43"/>
        <v>450</v>
      </c>
      <c r="I696" t="s">
        <v>212</v>
      </c>
      <c r="J696" t="str">
        <f ca="1">VLOOKUP(B696,Customer_Data!$A:$D,4,FALSE)</f>
        <v>Silver</v>
      </c>
    </row>
    <row r="697" spans="1:10" x14ac:dyDescent="0.35">
      <c r="A697" t="s">
        <v>944</v>
      </c>
      <c r="B697" t="str">
        <f t="shared" ca="1" si="40"/>
        <v>CUST040</v>
      </c>
      <c r="C697" s="1">
        <f t="shared" ca="1" si="41"/>
        <v>45951</v>
      </c>
      <c r="D697" t="s">
        <v>1252</v>
      </c>
      <c r="E697" t="s">
        <v>1257</v>
      </c>
      <c r="F697">
        <f t="shared" ca="1" si="42"/>
        <v>1</v>
      </c>
      <c r="G697">
        <v>120</v>
      </c>
      <c r="H697">
        <f t="shared" ca="1" si="43"/>
        <v>120</v>
      </c>
      <c r="I697" t="s">
        <v>212</v>
      </c>
      <c r="J697" t="str">
        <f ca="1">VLOOKUP(B697,Customer_Data!$A:$D,4,FALSE)</f>
        <v>Gold</v>
      </c>
    </row>
    <row r="698" spans="1:10" x14ac:dyDescent="0.35">
      <c r="A698" t="s">
        <v>945</v>
      </c>
      <c r="B698" t="str">
        <f t="shared" ca="1" si="40"/>
        <v>CUST194</v>
      </c>
      <c r="C698" s="1">
        <f t="shared" ca="1" si="41"/>
        <v>46011</v>
      </c>
      <c r="D698" t="s">
        <v>1253</v>
      </c>
      <c r="E698" t="s">
        <v>1258</v>
      </c>
      <c r="F698">
        <f t="shared" ca="1" si="42"/>
        <v>7</v>
      </c>
      <c r="G698">
        <v>90</v>
      </c>
      <c r="H698">
        <f t="shared" ca="1" si="43"/>
        <v>630</v>
      </c>
      <c r="I698" t="s">
        <v>212</v>
      </c>
      <c r="J698" t="str">
        <f ca="1">VLOOKUP(B698,Customer_Data!$A:$D,4,FALSE)</f>
        <v>Silver</v>
      </c>
    </row>
    <row r="699" spans="1:10" x14ac:dyDescent="0.35">
      <c r="A699" t="s">
        <v>946</v>
      </c>
      <c r="B699" t="str">
        <f t="shared" ca="1" si="40"/>
        <v>CUST135</v>
      </c>
      <c r="C699" s="1">
        <f t="shared" ca="1" si="41"/>
        <v>45811</v>
      </c>
      <c r="D699" t="s">
        <v>1250</v>
      </c>
      <c r="E699" t="s">
        <v>1255</v>
      </c>
      <c r="F699">
        <f t="shared" ca="1" si="42"/>
        <v>3</v>
      </c>
      <c r="G699">
        <v>60</v>
      </c>
      <c r="H699">
        <f t="shared" ca="1" si="43"/>
        <v>180</v>
      </c>
      <c r="I699" t="s">
        <v>214</v>
      </c>
      <c r="J699" t="str">
        <f ca="1">VLOOKUP(B699,Customer_Data!$A:$D,4,FALSE)</f>
        <v>Silver</v>
      </c>
    </row>
    <row r="700" spans="1:10" x14ac:dyDescent="0.35">
      <c r="A700" t="s">
        <v>947</v>
      </c>
      <c r="B700" t="str">
        <f t="shared" ca="1" si="40"/>
        <v>CUST058</v>
      </c>
      <c r="C700" s="1">
        <f t="shared" ca="1" si="41"/>
        <v>46007</v>
      </c>
      <c r="D700" t="s">
        <v>1252</v>
      </c>
      <c r="E700" t="s">
        <v>1257</v>
      </c>
      <c r="F700">
        <f t="shared" ca="1" si="42"/>
        <v>10</v>
      </c>
      <c r="G700">
        <v>120</v>
      </c>
      <c r="H700">
        <f t="shared" ca="1" si="43"/>
        <v>1200</v>
      </c>
      <c r="I700" t="s">
        <v>214</v>
      </c>
      <c r="J700" t="str">
        <f ca="1">VLOOKUP(B700,Customer_Data!$A:$D,4,FALSE)</f>
        <v>Gold</v>
      </c>
    </row>
    <row r="701" spans="1:10" x14ac:dyDescent="0.35">
      <c r="A701" t="s">
        <v>948</v>
      </c>
      <c r="B701" t="str">
        <f t="shared" ca="1" si="40"/>
        <v>CUST041</v>
      </c>
      <c r="C701" s="1">
        <f t="shared" ca="1" si="41"/>
        <v>45759</v>
      </c>
      <c r="D701" t="s">
        <v>1253</v>
      </c>
      <c r="E701" t="s">
        <v>1258</v>
      </c>
      <c r="F701">
        <f t="shared" ca="1" si="42"/>
        <v>7</v>
      </c>
      <c r="G701">
        <v>90</v>
      </c>
      <c r="H701">
        <f t="shared" ca="1" si="43"/>
        <v>630</v>
      </c>
      <c r="I701" t="s">
        <v>214</v>
      </c>
      <c r="J701" t="str">
        <f ca="1">VLOOKUP(B701,Customer_Data!$A:$D,4,FALSE)</f>
        <v>Regular</v>
      </c>
    </row>
    <row r="702" spans="1:10" x14ac:dyDescent="0.35">
      <c r="A702" t="s">
        <v>949</v>
      </c>
      <c r="B702" t="str">
        <f t="shared" ca="1" si="40"/>
        <v>CUST030</v>
      </c>
      <c r="C702" s="1">
        <f t="shared" ca="1" si="41"/>
        <v>45870</v>
      </c>
      <c r="D702" t="s">
        <v>1249</v>
      </c>
      <c r="E702" t="s">
        <v>1254</v>
      </c>
      <c r="F702">
        <f t="shared" ca="1" si="42"/>
        <v>8</v>
      </c>
      <c r="G702">
        <v>25</v>
      </c>
      <c r="H702">
        <f t="shared" ca="1" si="43"/>
        <v>200</v>
      </c>
      <c r="I702" t="s">
        <v>214</v>
      </c>
      <c r="J702" t="str">
        <f ca="1">VLOOKUP(B702,Customer_Data!$A:$D,4,FALSE)</f>
        <v>Regular</v>
      </c>
    </row>
    <row r="703" spans="1:10" x14ac:dyDescent="0.35">
      <c r="A703" t="s">
        <v>950</v>
      </c>
      <c r="B703" t="str">
        <f t="shared" ca="1" si="40"/>
        <v>CUST075</v>
      </c>
      <c r="C703" s="1">
        <f t="shared" ca="1" si="41"/>
        <v>45919</v>
      </c>
      <c r="D703" t="s">
        <v>1250</v>
      </c>
      <c r="E703" t="s">
        <v>1255</v>
      </c>
      <c r="F703">
        <f t="shared" ca="1" si="42"/>
        <v>10</v>
      </c>
      <c r="G703">
        <v>60</v>
      </c>
      <c r="H703">
        <f t="shared" ca="1" si="43"/>
        <v>600</v>
      </c>
      <c r="I703" t="s">
        <v>211</v>
      </c>
      <c r="J703" t="str">
        <f ca="1">VLOOKUP(B703,Customer_Data!$A:$D,4,FALSE)</f>
        <v>Silver</v>
      </c>
    </row>
    <row r="704" spans="1:10" x14ac:dyDescent="0.35">
      <c r="A704" t="s">
        <v>951</v>
      </c>
      <c r="B704" t="str">
        <f t="shared" ca="1" si="40"/>
        <v>CUST194</v>
      </c>
      <c r="C704" s="1">
        <f t="shared" ca="1" si="41"/>
        <v>45748</v>
      </c>
      <c r="D704" t="s">
        <v>1253</v>
      </c>
      <c r="E704" t="s">
        <v>1258</v>
      </c>
      <c r="F704">
        <f t="shared" ca="1" si="42"/>
        <v>5</v>
      </c>
      <c r="G704">
        <v>90</v>
      </c>
      <c r="H704">
        <f t="shared" ca="1" si="43"/>
        <v>450</v>
      </c>
      <c r="I704" t="s">
        <v>213</v>
      </c>
      <c r="J704" t="str">
        <f ca="1">VLOOKUP(B704,Customer_Data!$A:$D,4,FALSE)</f>
        <v>Silver</v>
      </c>
    </row>
    <row r="705" spans="1:10" x14ac:dyDescent="0.35">
      <c r="A705" t="s">
        <v>952</v>
      </c>
      <c r="B705" t="str">
        <f t="shared" ca="1" si="40"/>
        <v>CUST058</v>
      </c>
      <c r="C705" s="1">
        <f t="shared" ca="1" si="41"/>
        <v>45959</v>
      </c>
      <c r="D705" t="s">
        <v>1251</v>
      </c>
      <c r="E705" t="s">
        <v>1256</v>
      </c>
      <c r="F705">
        <f t="shared" ca="1" si="42"/>
        <v>2</v>
      </c>
      <c r="G705">
        <v>80</v>
      </c>
      <c r="H705">
        <f t="shared" ca="1" si="43"/>
        <v>160</v>
      </c>
      <c r="I705" t="s">
        <v>212</v>
      </c>
      <c r="J705" t="str">
        <f ca="1">VLOOKUP(B705,Customer_Data!$A:$D,4,FALSE)</f>
        <v>Gold</v>
      </c>
    </row>
    <row r="706" spans="1:10" x14ac:dyDescent="0.35">
      <c r="A706" t="s">
        <v>953</v>
      </c>
      <c r="B706" t="str">
        <f t="shared" ca="1" si="40"/>
        <v>CUST123</v>
      </c>
      <c r="C706" s="1">
        <f t="shared" ca="1" si="41"/>
        <v>45977</v>
      </c>
      <c r="D706" t="s">
        <v>1252</v>
      </c>
      <c r="E706" t="s">
        <v>1257</v>
      </c>
      <c r="F706">
        <f t="shared" ca="1" si="42"/>
        <v>8</v>
      </c>
      <c r="G706">
        <v>120</v>
      </c>
      <c r="H706">
        <f t="shared" ca="1" si="43"/>
        <v>960</v>
      </c>
      <c r="I706" t="s">
        <v>214</v>
      </c>
      <c r="J706" t="str">
        <f ca="1">VLOOKUP(B706,Customer_Data!$A:$D,4,FALSE)</f>
        <v>Regular</v>
      </c>
    </row>
    <row r="707" spans="1:10" x14ac:dyDescent="0.35">
      <c r="A707" t="s">
        <v>954</v>
      </c>
      <c r="B707" t="str">
        <f t="shared" ref="B707:B770" ca="1" si="44">"CUST"&amp;TEXT(RANDBETWEEN(1,200),"000")</f>
        <v>CUST153</v>
      </c>
      <c r="C707" s="1">
        <f t="shared" ref="C707:C770" ca="1" si="45">DATE(2025,1,1)+RANDBETWEEN(0,364)</f>
        <v>45773</v>
      </c>
      <c r="D707" t="s">
        <v>1253</v>
      </c>
      <c r="E707" t="s">
        <v>1258</v>
      </c>
      <c r="F707">
        <f t="shared" ref="F707:F770" ca="1" si="46">RANDBETWEEN(1,10)</f>
        <v>1</v>
      </c>
      <c r="G707">
        <v>90</v>
      </c>
      <c r="H707">
        <f t="shared" ref="H707:H770" ca="1" si="47">F707*G707</f>
        <v>90</v>
      </c>
      <c r="I707" t="s">
        <v>212</v>
      </c>
      <c r="J707" t="str">
        <f ca="1">VLOOKUP(B707,Customer_Data!$A:$D,4,FALSE)</f>
        <v>Silver</v>
      </c>
    </row>
    <row r="708" spans="1:10" x14ac:dyDescent="0.35">
      <c r="A708" t="s">
        <v>955</v>
      </c>
      <c r="B708" t="str">
        <f t="shared" ca="1" si="44"/>
        <v>CUST053</v>
      </c>
      <c r="C708" s="1">
        <f t="shared" ca="1" si="45"/>
        <v>45870</v>
      </c>
      <c r="D708" t="s">
        <v>1252</v>
      </c>
      <c r="E708" t="s">
        <v>1257</v>
      </c>
      <c r="F708">
        <f t="shared" ca="1" si="46"/>
        <v>7</v>
      </c>
      <c r="G708">
        <v>120</v>
      </c>
      <c r="H708">
        <f t="shared" ca="1" si="47"/>
        <v>840</v>
      </c>
      <c r="I708" t="s">
        <v>213</v>
      </c>
      <c r="J708" t="str">
        <f ca="1">VLOOKUP(B708,Customer_Data!$A:$D,4,FALSE)</f>
        <v>Silver</v>
      </c>
    </row>
    <row r="709" spans="1:10" x14ac:dyDescent="0.35">
      <c r="A709" t="s">
        <v>956</v>
      </c>
      <c r="B709" t="str">
        <f t="shared" ca="1" si="44"/>
        <v>CUST033</v>
      </c>
      <c r="C709" s="1">
        <f t="shared" ca="1" si="45"/>
        <v>45924</v>
      </c>
      <c r="D709" t="s">
        <v>1252</v>
      </c>
      <c r="E709" t="s">
        <v>1257</v>
      </c>
      <c r="F709">
        <f t="shared" ca="1" si="46"/>
        <v>4</v>
      </c>
      <c r="G709">
        <v>120</v>
      </c>
      <c r="H709">
        <f t="shared" ca="1" si="47"/>
        <v>480</v>
      </c>
      <c r="I709" t="s">
        <v>213</v>
      </c>
      <c r="J709" t="str">
        <f ca="1">VLOOKUP(B709,Customer_Data!$A:$D,4,FALSE)</f>
        <v>Silver</v>
      </c>
    </row>
    <row r="710" spans="1:10" x14ac:dyDescent="0.35">
      <c r="A710" t="s">
        <v>957</v>
      </c>
      <c r="B710" t="str">
        <f t="shared" ca="1" si="44"/>
        <v>CUST175</v>
      </c>
      <c r="C710" s="1">
        <f t="shared" ca="1" si="45"/>
        <v>45823</v>
      </c>
      <c r="D710" t="s">
        <v>1251</v>
      </c>
      <c r="E710" t="s">
        <v>1256</v>
      </c>
      <c r="F710">
        <f t="shared" ca="1" si="46"/>
        <v>3</v>
      </c>
      <c r="G710">
        <v>80</v>
      </c>
      <c r="H710">
        <f t="shared" ca="1" si="47"/>
        <v>240</v>
      </c>
      <c r="I710" t="s">
        <v>213</v>
      </c>
      <c r="J710" t="str">
        <f ca="1">VLOOKUP(B710,Customer_Data!$A:$D,4,FALSE)</f>
        <v>Silver</v>
      </c>
    </row>
    <row r="711" spans="1:10" x14ac:dyDescent="0.35">
      <c r="A711" t="s">
        <v>958</v>
      </c>
      <c r="B711" t="str">
        <f t="shared" ca="1" si="44"/>
        <v>CUST018</v>
      </c>
      <c r="C711" s="1">
        <f t="shared" ca="1" si="45"/>
        <v>45759</v>
      </c>
      <c r="D711" t="s">
        <v>1249</v>
      </c>
      <c r="E711" t="s">
        <v>1254</v>
      </c>
      <c r="F711">
        <f t="shared" ca="1" si="46"/>
        <v>2</v>
      </c>
      <c r="G711">
        <v>25</v>
      </c>
      <c r="H711">
        <f t="shared" ca="1" si="47"/>
        <v>50</v>
      </c>
      <c r="I711" t="s">
        <v>213</v>
      </c>
      <c r="J711" t="str">
        <f ca="1">VLOOKUP(B711,Customer_Data!$A:$D,4,FALSE)</f>
        <v>Gold</v>
      </c>
    </row>
    <row r="712" spans="1:10" x14ac:dyDescent="0.35">
      <c r="A712" t="s">
        <v>959</v>
      </c>
      <c r="B712" t="str">
        <f t="shared" ca="1" si="44"/>
        <v>CUST164</v>
      </c>
      <c r="C712" s="1">
        <f t="shared" ca="1" si="45"/>
        <v>45921</v>
      </c>
      <c r="D712" t="s">
        <v>1249</v>
      </c>
      <c r="E712" t="s">
        <v>1254</v>
      </c>
      <c r="F712">
        <f t="shared" ca="1" si="46"/>
        <v>1</v>
      </c>
      <c r="G712">
        <v>25</v>
      </c>
      <c r="H712">
        <f t="shared" ca="1" si="47"/>
        <v>25</v>
      </c>
      <c r="I712" t="s">
        <v>213</v>
      </c>
      <c r="J712" t="str">
        <f ca="1">VLOOKUP(B712,Customer_Data!$A:$D,4,FALSE)</f>
        <v>Regular</v>
      </c>
    </row>
    <row r="713" spans="1:10" x14ac:dyDescent="0.35">
      <c r="A713" t="s">
        <v>960</v>
      </c>
      <c r="B713" t="str">
        <f t="shared" ca="1" si="44"/>
        <v>CUST104</v>
      </c>
      <c r="C713" s="1">
        <f t="shared" ca="1" si="45"/>
        <v>45924</v>
      </c>
      <c r="D713" t="s">
        <v>1249</v>
      </c>
      <c r="E713" t="s">
        <v>1254</v>
      </c>
      <c r="F713">
        <f t="shared" ca="1" si="46"/>
        <v>10</v>
      </c>
      <c r="G713">
        <v>25</v>
      </c>
      <c r="H713">
        <f t="shared" ca="1" si="47"/>
        <v>250</v>
      </c>
      <c r="I713" t="s">
        <v>214</v>
      </c>
      <c r="J713" t="str">
        <f ca="1">VLOOKUP(B713,Customer_Data!$A:$D,4,FALSE)</f>
        <v>Regular</v>
      </c>
    </row>
    <row r="714" spans="1:10" x14ac:dyDescent="0.35">
      <c r="A714" t="s">
        <v>961</v>
      </c>
      <c r="B714" t="str">
        <f t="shared" ca="1" si="44"/>
        <v>CUST133</v>
      </c>
      <c r="C714" s="1">
        <f t="shared" ca="1" si="45"/>
        <v>45709</v>
      </c>
      <c r="D714" t="s">
        <v>1252</v>
      </c>
      <c r="E714" t="s">
        <v>1257</v>
      </c>
      <c r="F714">
        <f t="shared" ca="1" si="46"/>
        <v>3</v>
      </c>
      <c r="G714">
        <v>120</v>
      </c>
      <c r="H714">
        <f t="shared" ca="1" si="47"/>
        <v>360</v>
      </c>
      <c r="I714" t="s">
        <v>211</v>
      </c>
      <c r="J714" t="str">
        <f ca="1">VLOOKUP(B714,Customer_Data!$A:$D,4,FALSE)</f>
        <v>Silver</v>
      </c>
    </row>
    <row r="715" spans="1:10" x14ac:dyDescent="0.35">
      <c r="A715" t="s">
        <v>962</v>
      </c>
      <c r="B715" t="str">
        <f t="shared" ca="1" si="44"/>
        <v>CUST188</v>
      </c>
      <c r="C715" s="1">
        <f t="shared" ca="1" si="45"/>
        <v>45840</v>
      </c>
      <c r="D715" t="s">
        <v>1253</v>
      </c>
      <c r="E715" t="s">
        <v>1258</v>
      </c>
      <c r="F715">
        <f t="shared" ca="1" si="46"/>
        <v>2</v>
      </c>
      <c r="G715">
        <v>90</v>
      </c>
      <c r="H715">
        <f t="shared" ca="1" si="47"/>
        <v>180</v>
      </c>
      <c r="I715" t="s">
        <v>211</v>
      </c>
      <c r="J715" t="str">
        <f ca="1">VLOOKUP(B715,Customer_Data!$A:$D,4,FALSE)</f>
        <v>Regular</v>
      </c>
    </row>
    <row r="716" spans="1:10" x14ac:dyDescent="0.35">
      <c r="A716" t="s">
        <v>963</v>
      </c>
      <c r="B716" t="str">
        <f t="shared" ca="1" si="44"/>
        <v>CUST174</v>
      </c>
      <c r="C716" s="1">
        <f t="shared" ca="1" si="45"/>
        <v>45946</v>
      </c>
      <c r="D716" t="s">
        <v>1251</v>
      </c>
      <c r="E716" t="s">
        <v>1256</v>
      </c>
      <c r="F716">
        <f t="shared" ca="1" si="46"/>
        <v>4</v>
      </c>
      <c r="G716">
        <v>80</v>
      </c>
      <c r="H716">
        <f t="shared" ca="1" si="47"/>
        <v>320</v>
      </c>
      <c r="I716" t="s">
        <v>212</v>
      </c>
      <c r="J716" t="str">
        <f ca="1">VLOOKUP(B716,Customer_Data!$A:$D,4,FALSE)</f>
        <v>Silver</v>
      </c>
    </row>
    <row r="717" spans="1:10" x14ac:dyDescent="0.35">
      <c r="A717" t="s">
        <v>964</v>
      </c>
      <c r="B717" t="str">
        <f t="shared" ca="1" si="44"/>
        <v>CUST080</v>
      </c>
      <c r="C717" s="1">
        <f t="shared" ca="1" si="45"/>
        <v>46017</v>
      </c>
      <c r="D717" t="s">
        <v>1249</v>
      </c>
      <c r="E717" t="s">
        <v>1254</v>
      </c>
      <c r="F717">
        <f t="shared" ca="1" si="46"/>
        <v>8</v>
      </c>
      <c r="G717">
        <v>25</v>
      </c>
      <c r="H717">
        <f t="shared" ca="1" si="47"/>
        <v>200</v>
      </c>
      <c r="I717" t="s">
        <v>213</v>
      </c>
      <c r="J717" t="str">
        <f ca="1">VLOOKUP(B717,Customer_Data!$A:$D,4,FALSE)</f>
        <v>Gold</v>
      </c>
    </row>
    <row r="718" spans="1:10" x14ac:dyDescent="0.35">
      <c r="A718" t="s">
        <v>965</v>
      </c>
      <c r="B718" t="str">
        <f t="shared" ca="1" si="44"/>
        <v>CUST113</v>
      </c>
      <c r="C718" s="1">
        <f t="shared" ca="1" si="45"/>
        <v>45867</v>
      </c>
      <c r="D718" t="s">
        <v>1249</v>
      </c>
      <c r="E718" t="s">
        <v>1254</v>
      </c>
      <c r="F718">
        <f t="shared" ca="1" si="46"/>
        <v>5</v>
      </c>
      <c r="G718">
        <v>25</v>
      </c>
      <c r="H718">
        <f t="shared" ca="1" si="47"/>
        <v>125</v>
      </c>
      <c r="I718" t="s">
        <v>213</v>
      </c>
      <c r="J718" t="str">
        <f ca="1">VLOOKUP(B718,Customer_Data!$A:$D,4,FALSE)</f>
        <v>Silver</v>
      </c>
    </row>
    <row r="719" spans="1:10" x14ac:dyDescent="0.35">
      <c r="A719" t="s">
        <v>966</v>
      </c>
      <c r="B719" t="str">
        <f t="shared" ca="1" si="44"/>
        <v>CUST139</v>
      </c>
      <c r="C719" s="1">
        <f t="shared" ca="1" si="45"/>
        <v>46000</v>
      </c>
      <c r="D719" t="s">
        <v>1252</v>
      </c>
      <c r="E719" t="s">
        <v>1257</v>
      </c>
      <c r="F719">
        <f t="shared" ca="1" si="46"/>
        <v>8</v>
      </c>
      <c r="G719">
        <v>120</v>
      </c>
      <c r="H719">
        <f t="shared" ca="1" si="47"/>
        <v>960</v>
      </c>
      <c r="I719" t="s">
        <v>214</v>
      </c>
      <c r="J719" t="str">
        <f ca="1">VLOOKUP(B719,Customer_Data!$A:$D,4,FALSE)</f>
        <v>Gold</v>
      </c>
    </row>
    <row r="720" spans="1:10" x14ac:dyDescent="0.35">
      <c r="A720" t="s">
        <v>967</v>
      </c>
      <c r="B720" t="str">
        <f t="shared" ca="1" si="44"/>
        <v>CUST077</v>
      </c>
      <c r="C720" s="1">
        <f t="shared" ca="1" si="45"/>
        <v>45669</v>
      </c>
      <c r="D720" t="s">
        <v>1252</v>
      </c>
      <c r="E720" t="s">
        <v>1257</v>
      </c>
      <c r="F720">
        <f t="shared" ca="1" si="46"/>
        <v>1</v>
      </c>
      <c r="G720">
        <v>120</v>
      </c>
      <c r="H720">
        <f t="shared" ca="1" si="47"/>
        <v>120</v>
      </c>
      <c r="I720" t="s">
        <v>211</v>
      </c>
      <c r="J720" t="str">
        <f ca="1">VLOOKUP(B720,Customer_Data!$A:$D,4,FALSE)</f>
        <v>Silver</v>
      </c>
    </row>
    <row r="721" spans="1:10" x14ac:dyDescent="0.35">
      <c r="A721" t="s">
        <v>968</v>
      </c>
      <c r="B721" t="str">
        <f t="shared" ca="1" si="44"/>
        <v>CUST036</v>
      </c>
      <c r="C721" s="1">
        <f t="shared" ca="1" si="45"/>
        <v>45793</v>
      </c>
      <c r="D721" t="s">
        <v>1250</v>
      </c>
      <c r="E721" t="s">
        <v>1255</v>
      </c>
      <c r="F721">
        <f t="shared" ca="1" si="46"/>
        <v>7</v>
      </c>
      <c r="G721">
        <v>60</v>
      </c>
      <c r="H721">
        <f t="shared" ca="1" si="47"/>
        <v>420</v>
      </c>
      <c r="I721" t="s">
        <v>214</v>
      </c>
      <c r="J721" t="str">
        <f ca="1">VLOOKUP(B721,Customer_Data!$A:$D,4,FALSE)</f>
        <v>Silver</v>
      </c>
    </row>
    <row r="722" spans="1:10" x14ac:dyDescent="0.35">
      <c r="A722" t="s">
        <v>969</v>
      </c>
      <c r="B722" t="str">
        <f t="shared" ca="1" si="44"/>
        <v>CUST185</v>
      </c>
      <c r="C722" s="1">
        <f t="shared" ca="1" si="45"/>
        <v>45998</v>
      </c>
      <c r="D722" t="s">
        <v>1249</v>
      </c>
      <c r="E722" t="s">
        <v>1254</v>
      </c>
      <c r="F722">
        <f t="shared" ca="1" si="46"/>
        <v>1</v>
      </c>
      <c r="G722">
        <v>25</v>
      </c>
      <c r="H722">
        <f t="shared" ca="1" si="47"/>
        <v>25</v>
      </c>
      <c r="I722" t="s">
        <v>212</v>
      </c>
      <c r="J722" t="str">
        <f ca="1">VLOOKUP(B722,Customer_Data!$A:$D,4,FALSE)</f>
        <v>Regular</v>
      </c>
    </row>
    <row r="723" spans="1:10" x14ac:dyDescent="0.35">
      <c r="A723" t="s">
        <v>970</v>
      </c>
      <c r="B723" t="str">
        <f t="shared" ca="1" si="44"/>
        <v>CUST112</v>
      </c>
      <c r="C723" s="1">
        <f t="shared" ca="1" si="45"/>
        <v>45747</v>
      </c>
      <c r="D723" t="s">
        <v>1250</v>
      </c>
      <c r="E723" t="s">
        <v>1255</v>
      </c>
      <c r="F723">
        <f t="shared" ca="1" si="46"/>
        <v>7</v>
      </c>
      <c r="G723">
        <v>60</v>
      </c>
      <c r="H723">
        <f t="shared" ca="1" si="47"/>
        <v>420</v>
      </c>
      <c r="I723" t="s">
        <v>214</v>
      </c>
      <c r="J723" t="str">
        <f ca="1">VLOOKUP(B723,Customer_Data!$A:$D,4,FALSE)</f>
        <v>Regular</v>
      </c>
    </row>
    <row r="724" spans="1:10" x14ac:dyDescent="0.35">
      <c r="A724" t="s">
        <v>971</v>
      </c>
      <c r="B724" t="str">
        <f t="shared" ca="1" si="44"/>
        <v>CUST148</v>
      </c>
      <c r="C724" s="1">
        <f t="shared" ca="1" si="45"/>
        <v>45916</v>
      </c>
      <c r="D724" t="s">
        <v>1252</v>
      </c>
      <c r="E724" t="s">
        <v>1257</v>
      </c>
      <c r="F724">
        <f t="shared" ca="1" si="46"/>
        <v>1</v>
      </c>
      <c r="G724">
        <v>120</v>
      </c>
      <c r="H724">
        <f t="shared" ca="1" si="47"/>
        <v>120</v>
      </c>
      <c r="I724" t="s">
        <v>213</v>
      </c>
      <c r="J724" t="str">
        <f ca="1">VLOOKUP(B724,Customer_Data!$A:$D,4,FALSE)</f>
        <v>Regular</v>
      </c>
    </row>
    <row r="725" spans="1:10" x14ac:dyDescent="0.35">
      <c r="A725" t="s">
        <v>972</v>
      </c>
      <c r="B725" t="str">
        <f t="shared" ca="1" si="44"/>
        <v>CUST073</v>
      </c>
      <c r="C725" s="1">
        <f t="shared" ca="1" si="45"/>
        <v>45870</v>
      </c>
      <c r="D725" t="s">
        <v>1249</v>
      </c>
      <c r="E725" t="s">
        <v>1254</v>
      </c>
      <c r="F725">
        <f t="shared" ca="1" si="46"/>
        <v>4</v>
      </c>
      <c r="G725">
        <v>25</v>
      </c>
      <c r="H725">
        <f t="shared" ca="1" si="47"/>
        <v>100</v>
      </c>
      <c r="I725" t="s">
        <v>214</v>
      </c>
      <c r="J725" t="str">
        <f ca="1">VLOOKUP(B725,Customer_Data!$A:$D,4,FALSE)</f>
        <v>Silver</v>
      </c>
    </row>
    <row r="726" spans="1:10" x14ac:dyDescent="0.35">
      <c r="A726" t="s">
        <v>973</v>
      </c>
      <c r="B726" t="str">
        <f t="shared" ca="1" si="44"/>
        <v>CUST110</v>
      </c>
      <c r="C726" s="1">
        <f t="shared" ca="1" si="45"/>
        <v>45895</v>
      </c>
      <c r="D726" t="s">
        <v>1251</v>
      </c>
      <c r="E726" t="s">
        <v>1256</v>
      </c>
      <c r="F726">
        <f t="shared" ca="1" si="46"/>
        <v>7</v>
      </c>
      <c r="G726">
        <v>80</v>
      </c>
      <c r="H726">
        <f t="shared" ca="1" si="47"/>
        <v>560</v>
      </c>
      <c r="I726" t="s">
        <v>214</v>
      </c>
      <c r="J726" t="str">
        <f ca="1">VLOOKUP(B726,Customer_Data!$A:$D,4,FALSE)</f>
        <v>Regular</v>
      </c>
    </row>
    <row r="727" spans="1:10" x14ac:dyDescent="0.35">
      <c r="A727" t="s">
        <v>974</v>
      </c>
      <c r="B727" t="str">
        <f t="shared" ca="1" si="44"/>
        <v>CUST109</v>
      </c>
      <c r="C727" s="1">
        <f t="shared" ca="1" si="45"/>
        <v>45801</v>
      </c>
      <c r="D727" t="s">
        <v>1252</v>
      </c>
      <c r="E727" t="s">
        <v>1257</v>
      </c>
      <c r="F727">
        <f t="shared" ca="1" si="46"/>
        <v>8</v>
      </c>
      <c r="G727">
        <v>120</v>
      </c>
      <c r="H727">
        <f t="shared" ca="1" si="47"/>
        <v>960</v>
      </c>
      <c r="I727" t="s">
        <v>214</v>
      </c>
      <c r="J727" t="str">
        <f ca="1">VLOOKUP(B727,Customer_Data!$A:$D,4,FALSE)</f>
        <v>Regular</v>
      </c>
    </row>
    <row r="728" spans="1:10" x14ac:dyDescent="0.35">
      <c r="A728" t="s">
        <v>975</v>
      </c>
      <c r="B728" t="str">
        <f t="shared" ca="1" si="44"/>
        <v>CUST001</v>
      </c>
      <c r="C728" s="1">
        <f t="shared" ca="1" si="45"/>
        <v>45715</v>
      </c>
      <c r="D728" t="s">
        <v>1250</v>
      </c>
      <c r="E728" t="s">
        <v>1255</v>
      </c>
      <c r="F728">
        <f t="shared" ca="1" si="46"/>
        <v>2</v>
      </c>
      <c r="G728">
        <v>60</v>
      </c>
      <c r="H728">
        <f t="shared" ca="1" si="47"/>
        <v>120</v>
      </c>
      <c r="I728" t="s">
        <v>214</v>
      </c>
      <c r="J728" t="str">
        <f ca="1">VLOOKUP(B728,Customer_Data!$A:$D,4,FALSE)</f>
        <v>Regular</v>
      </c>
    </row>
    <row r="729" spans="1:10" x14ac:dyDescent="0.35">
      <c r="A729" t="s">
        <v>976</v>
      </c>
      <c r="B729" t="str">
        <f t="shared" ca="1" si="44"/>
        <v>CUST007</v>
      </c>
      <c r="C729" s="1">
        <f t="shared" ca="1" si="45"/>
        <v>45933</v>
      </c>
      <c r="D729" t="s">
        <v>1253</v>
      </c>
      <c r="E729" t="s">
        <v>1258</v>
      </c>
      <c r="F729">
        <f t="shared" ca="1" si="46"/>
        <v>10</v>
      </c>
      <c r="G729">
        <v>90</v>
      </c>
      <c r="H729">
        <f t="shared" ca="1" si="47"/>
        <v>900</v>
      </c>
      <c r="I729" t="s">
        <v>211</v>
      </c>
      <c r="J729" t="str">
        <f ca="1">VLOOKUP(B729,Customer_Data!$A:$D,4,FALSE)</f>
        <v>Regular</v>
      </c>
    </row>
    <row r="730" spans="1:10" x14ac:dyDescent="0.35">
      <c r="A730" t="s">
        <v>977</v>
      </c>
      <c r="B730" t="str">
        <f t="shared" ca="1" si="44"/>
        <v>CUST027</v>
      </c>
      <c r="C730" s="1">
        <f t="shared" ca="1" si="45"/>
        <v>45992</v>
      </c>
      <c r="D730" t="s">
        <v>1253</v>
      </c>
      <c r="E730" t="s">
        <v>1258</v>
      </c>
      <c r="F730">
        <f t="shared" ca="1" si="46"/>
        <v>2</v>
      </c>
      <c r="G730">
        <v>90</v>
      </c>
      <c r="H730">
        <f t="shared" ca="1" si="47"/>
        <v>180</v>
      </c>
      <c r="I730" t="s">
        <v>214</v>
      </c>
      <c r="J730" t="str">
        <f ca="1">VLOOKUP(B730,Customer_Data!$A:$D,4,FALSE)</f>
        <v>Regular</v>
      </c>
    </row>
    <row r="731" spans="1:10" x14ac:dyDescent="0.35">
      <c r="A731" t="s">
        <v>978</v>
      </c>
      <c r="B731" t="str">
        <f t="shared" ca="1" si="44"/>
        <v>CUST045</v>
      </c>
      <c r="C731" s="1">
        <f t="shared" ca="1" si="45"/>
        <v>45720</v>
      </c>
      <c r="D731" t="s">
        <v>1251</v>
      </c>
      <c r="E731" t="s">
        <v>1256</v>
      </c>
      <c r="F731">
        <f t="shared" ca="1" si="46"/>
        <v>3</v>
      </c>
      <c r="G731">
        <v>80</v>
      </c>
      <c r="H731">
        <f t="shared" ca="1" si="47"/>
        <v>240</v>
      </c>
      <c r="I731" t="s">
        <v>213</v>
      </c>
      <c r="J731" t="str">
        <f ca="1">VLOOKUP(B731,Customer_Data!$A:$D,4,FALSE)</f>
        <v>Regular</v>
      </c>
    </row>
    <row r="732" spans="1:10" x14ac:dyDescent="0.35">
      <c r="A732" t="s">
        <v>979</v>
      </c>
      <c r="B732" t="str">
        <f t="shared" ca="1" si="44"/>
        <v>CUST161</v>
      </c>
      <c r="C732" s="1">
        <f t="shared" ca="1" si="45"/>
        <v>45801</v>
      </c>
      <c r="D732" t="s">
        <v>1250</v>
      </c>
      <c r="E732" t="s">
        <v>1255</v>
      </c>
      <c r="F732">
        <f t="shared" ca="1" si="46"/>
        <v>1</v>
      </c>
      <c r="G732">
        <v>60</v>
      </c>
      <c r="H732">
        <f t="shared" ca="1" si="47"/>
        <v>60</v>
      </c>
      <c r="I732" t="s">
        <v>211</v>
      </c>
      <c r="J732" t="str">
        <f ca="1">VLOOKUP(B732,Customer_Data!$A:$D,4,FALSE)</f>
        <v>Regular</v>
      </c>
    </row>
    <row r="733" spans="1:10" x14ac:dyDescent="0.35">
      <c r="A733" t="s">
        <v>980</v>
      </c>
      <c r="B733" t="str">
        <f t="shared" ca="1" si="44"/>
        <v>CUST102</v>
      </c>
      <c r="C733" s="1">
        <f t="shared" ca="1" si="45"/>
        <v>45902</v>
      </c>
      <c r="D733" t="s">
        <v>1253</v>
      </c>
      <c r="E733" t="s">
        <v>1258</v>
      </c>
      <c r="F733">
        <f t="shared" ca="1" si="46"/>
        <v>3</v>
      </c>
      <c r="G733">
        <v>90</v>
      </c>
      <c r="H733">
        <f t="shared" ca="1" si="47"/>
        <v>270</v>
      </c>
      <c r="I733" t="s">
        <v>214</v>
      </c>
      <c r="J733" t="str">
        <f ca="1">VLOOKUP(B733,Customer_Data!$A:$D,4,FALSE)</f>
        <v>Regular</v>
      </c>
    </row>
    <row r="734" spans="1:10" x14ac:dyDescent="0.35">
      <c r="A734" t="s">
        <v>981</v>
      </c>
      <c r="B734" t="str">
        <f t="shared" ca="1" si="44"/>
        <v>CUST120</v>
      </c>
      <c r="C734" s="1">
        <f t="shared" ca="1" si="45"/>
        <v>45922</v>
      </c>
      <c r="D734" t="s">
        <v>1251</v>
      </c>
      <c r="E734" t="s">
        <v>1256</v>
      </c>
      <c r="F734">
        <f t="shared" ca="1" si="46"/>
        <v>3</v>
      </c>
      <c r="G734">
        <v>80</v>
      </c>
      <c r="H734">
        <f t="shared" ca="1" si="47"/>
        <v>240</v>
      </c>
      <c r="I734" t="s">
        <v>211</v>
      </c>
      <c r="J734" t="str">
        <f ca="1">VLOOKUP(B734,Customer_Data!$A:$D,4,FALSE)</f>
        <v>Gold</v>
      </c>
    </row>
    <row r="735" spans="1:10" x14ac:dyDescent="0.35">
      <c r="A735" t="s">
        <v>982</v>
      </c>
      <c r="B735" t="str">
        <f t="shared" ca="1" si="44"/>
        <v>CUST129</v>
      </c>
      <c r="C735" s="1">
        <f t="shared" ca="1" si="45"/>
        <v>45961</v>
      </c>
      <c r="D735" t="s">
        <v>1252</v>
      </c>
      <c r="E735" t="s">
        <v>1257</v>
      </c>
      <c r="F735">
        <f t="shared" ca="1" si="46"/>
        <v>3</v>
      </c>
      <c r="G735">
        <v>120</v>
      </c>
      <c r="H735">
        <f t="shared" ca="1" si="47"/>
        <v>360</v>
      </c>
      <c r="I735" t="s">
        <v>214</v>
      </c>
      <c r="J735" t="str">
        <f ca="1">VLOOKUP(B735,Customer_Data!$A:$D,4,FALSE)</f>
        <v>Regular</v>
      </c>
    </row>
    <row r="736" spans="1:10" x14ac:dyDescent="0.35">
      <c r="A736" t="s">
        <v>983</v>
      </c>
      <c r="B736" t="str">
        <f t="shared" ca="1" si="44"/>
        <v>CUST151</v>
      </c>
      <c r="C736" s="1">
        <f t="shared" ca="1" si="45"/>
        <v>45892</v>
      </c>
      <c r="D736" t="s">
        <v>1253</v>
      </c>
      <c r="E736" t="s">
        <v>1258</v>
      </c>
      <c r="F736">
        <f t="shared" ca="1" si="46"/>
        <v>5</v>
      </c>
      <c r="G736">
        <v>90</v>
      </c>
      <c r="H736">
        <f t="shared" ca="1" si="47"/>
        <v>450</v>
      </c>
      <c r="I736" t="s">
        <v>211</v>
      </c>
      <c r="J736" t="str">
        <f ca="1">VLOOKUP(B736,Customer_Data!$A:$D,4,FALSE)</f>
        <v>Regular</v>
      </c>
    </row>
    <row r="737" spans="1:10" x14ac:dyDescent="0.35">
      <c r="A737" t="s">
        <v>984</v>
      </c>
      <c r="B737" t="str">
        <f t="shared" ca="1" si="44"/>
        <v>CUST082</v>
      </c>
      <c r="C737" s="1">
        <f t="shared" ca="1" si="45"/>
        <v>45685</v>
      </c>
      <c r="D737" t="s">
        <v>1253</v>
      </c>
      <c r="E737" t="s">
        <v>1258</v>
      </c>
      <c r="F737">
        <f t="shared" ca="1" si="46"/>
        <v>1</v>
      </c>
      <c r="G737">
        <v>90</v>
      </c>
      <c r="H737">
        <f t="shared" ca="1" si="47"/>
        <v>90</v>
      </c>
      <c r="I737" t="s">
        <v>211</v>
      </c>
      <c r="J737" t="str">
        <f ca="1">VLOOKUP(B737,Customer_Data!$A:$D,4,FALSE)</f>
        <v>Regular</v>
      </c>
    </row>
    <row r="738" spans="1:10" x14ac:dyDescent="0.35">
      <c r="A738" t="s">
        <v>985</v>
      </c>
      <c r="B738" t="str">
        <f t="shared" ca="1" si="44"/>
        <v>CUST037</v>
      </c>
      <c r="C738" s="1">
        <f t="shared" ca="1" si="45"/>
        <v>45934</v>
      </c>
      <c r="D738" t="s">
        <v>1252</v>
      </c>
      <c r="E738" t="s">
        <v>1257</v>
      </c>
      <c r="F738">
        <f t="shared" ca="1" si="46"/>
        <v>5</v>
      </c>
      <c r="G738">
        <v>120</v>
      </c>
      <c r="H738">
        <f t="shared" ca="1" si="47"/>
        <v>600</v>
      </c>
      <c r="I738" t="s">
        <v>211</v>
      </c>
      <c r="J738" t="str">
        <f ca="1">VLOOKUP(B738,Customer_Data!$A:$D,4,FALSE)</f>
        <v>Silver</v>
      </c>
    </row>
    <row r="739" spans="1:10" x14ac:dyDescent="0.35">
      <c r="A739" t="s">
        <v>986</v>
      </c>
      <c r="B739" t="str">
        <f t="shared" ca="1" si="44"/>
        <v>CUST070</v>
      </c>
      <c r="C739" s="1">
        <f t="shared" ca="1" si="45"/>
        <v>45773</v>
      </c>
      <c r="D739" t="s">
        <v>1253</v>
      </c>
      <c r="E739" t="s">
        <v>1258</v>
      </c>
      <c r="F739">
        <f t="shared" ca="1" si="46"/>
        <v>4</v>
      </c>
      <c r="G739">
        <v>90</v>
      </c>
      <c r="H739">
        <f t="shared" ca="1" si="47"/>
        <v>360</v>
      </c>
      <c r="I739" t="s">
        <v>211</v>
      </c>
      <c r="J739" t="str">
        <f ca="1">VLOOKUP(B739,Customer_Data!$A:$D,4,FALSE)</f>
        <v>Regular</v>
      </c>
    </row>
    <row r="740" spans="1:10" x14ac:dyDescent="0.35">
      <c r="A740" t="s">
        <v>987</v>
      </c>
      <c r="B740" t="str">
        <f t="shared" ca="1" si="44"/>
        <v>CUST114</v>
      </c>
      <c r="C740" s="1">
        <f t="shared" ca="1" si="45"/>
        <v>45953</v>
      </c>
      <c r="D740" t="s">
        <v>1250</v>
      </c>
      <c r="E740" t="s">
        <v>1255</v>
      </c>
      <c r="F740">
        <f t="shared" ca="1" si="46"/>
        <v>6</v>
      </c>
      <c r="G740">
        <v>60</v>
      </c>
      <c r="H740">
        <f t="shared" ca="1" si="47"/>
        <v>360</v>
      </c>
      <c r="I740" t="s">
        <v>212</v>
      </c>
      <c r="J740" t="str">
        <f ca="1">VLOOKUP(B740,Customer_Data!$A:$D,4,FALSE)</f>
        <v>Silver</v>
      </c>
    </row>
    <row r="741" spans="1:10" x14ac:dyDescent="0.35">
      <c r="A741" t="s">
        <v>988</v>
      </c>
      <c r="B741" t="str">
        <f t="shared" ca="1" si="44"/>
        <v>CUST104</v>
      </c>
      <c r="C741" s="1">
        <f t="shared" ca="1" si="45"/>
        <v>45940</v>
      </c>
      <c r="D741" t="s">
        <v>1252</v>
      </c>
      <c r="E741" t="s">
        <v>1257</v>
      </c>
      <c r="F741">
        <f t="shared" ca="1" si="46"/>
        <v>7</v>
      </c>
      <c r="G741">
        <v>120</v>
      </c>
      <c r="H741">
        <f t="shared" ca="1" si="47"/>
        <v>840</v>
      </c>
      <c r="I741" t="s">
        <v>214</v>
      </c>
      <c r="J741" t="str">
        <f ca="1">VLOOKUP(B741,Customer_Data!$A:$D,4,FALSE)</f>
        <v>Regular</v>
      </c>
    </row>
    <row r="742" spans="1:10" x14ac:dyDescent="0.35">
      <c r="A742" t="s">
        <v>989</v>
      </c>
      <c r="B742" t="str">
        <f t="shared" ca="1" si="44"/>
        <v>CUST058</v>
      </c>
      <c r="C742" s="1">
        <f t="shared" ca="1" si="45"/>
        <v>45830</v>
      </c>
      <c r="D742" t="s">
        <v>1249</v>
      </c>
      <c r="E742" t="s">
        <v>1254</v>
      </c>
      <c r="F742">
        <f t="shared" ca="1" si="46"/>
        <v>9</v>
      </c>
      <c r="G742">
        <v>25</v>
      </c>
      <c r="H742">
        <f t="shared" ca="1" si="47"/>
        <v>225</v>
      </c>
      <c r="I742" t="s">
        <v>212</v>
      </c>
      <c r="J742" t="str">
        <f ca="1">VLOOKUP(B742,Customer_Data!$A:$D,4,FALSE)</f>
        <v>Gold</v>
      </c>
    </row>
    <row r="743" spans="1:10" x14ac:dyDescent="0.35">
      <c r="A743" t="s">
        <v>990</v>
      </c>
      <c r="B743" t="str">
        <f t="shared" ca="1" si="44"/>
        <v>CUST060</v>
      </c>
      <c r="C743" s="1">
        <f t="shared" ca="1" si="45"/>
        <v>45781</v>
      </c>
      <c r="D743" t="s">
        <v>1251</v>
      </c>
      <c r="E743" t="s">
        <v>1256</v>
      </c>
      <c r="F743">
        <f t="shared" ca="1" si="46"/>
        <v>9</v>
      </c>
      <c r="G743">
        <v>80</v>
      </c>
      <c r="H743">
        <f t="shared" ca="1" si="47"/>
        <v>720</v>
      </c>
      <c r="I743" t="s">
        <v>211</v>
      </c>
      <c r="J743" t="str">
        <f ca="1">VLOOKUP(B743,Customer_Data!$A:$D,4,FALSE)</f>
        <v>Gold</v>
      </c>
    </row>
    <row r="744" spans="1:10" x14ac:dyDescent="0.35">
      <c r="A744" t="s">
        <v>991</v>
      </c>
      <c r="B744" t="str">
        <f t="shared" ca="1" si="44"/>
        <v>CUST106</v>
      </c>
      <c r="C744" s="1">
        <f t="shared" ca="1" si="45"/>
        <v>45815</v>
      </c>
      <c r="D744" t="s">
        <v>1252</v>
      </c>
      <c r="E744" t="s">
        <v>1257</v>
      </c>
      <c r="F744">
        <f t="shared" ca="1" si="46"/>
        <v>9</v>
      </c>
      <c r="G744">
        <v>120</v>
      </c>
      <c r="H744">
        <f t="shared" ca="1" si="47"/>
        <v>1080</v>
      </c>
      <c r="I744" t="s">
        <v>213</v>
      </c>
      <c r="J744" t="str">
        <f ca="1">VLOOKUP(B744,Customer_Data!$A:$D,4,FALSE)</f>
        <v>Regular</v>
      </c>
    </row>
    <row r="745" spans="1:10" x14ac:dyDescent="0.35">
      <c r="A745" t="s">
        <v>992</v>
      </c>
      <c r="B745" t="str">
        <f t="shared" ca="1" si="44"/>
        <v>CUST149</v>
      </c>
      <c r="C745" s="1">
        <f t="shared" ca="1" si="45"/>
        <v>45938</v>
      </c>
      <c r="D745" t="s">
        <v>1253</v>
      </c>
      <c r="E745" t="s">
        <v>1258</v>
      </c>
      <c r="F745">
        <f t="shared" ca="1" si="46"/>
        <v>1</v>
      </c>
      <c r="G745">
        <v>90</v>
      </c>
      <c r="H745">
        <f t="shared" ca="1" si="47"/>
        <v>90</v>
      </c>
      <c r="I745" t="s">
        <v>214</v>
      </c>
      <c r="J745" t="str">
        <f ca="1">VLOOKUP(B745,Customer_Data!$A:$D,4,FALSE)</f>
        <v>Regular</v>
      </c>
    </row>
    <row r="746" spans="1:10" x14ac:dyDescent="0.35">
      <c r="A746" t="s">
        <v>993</v>
      </c>
      <c r="B746" t="str">
        <f t="shared" ca="1" si="44"/>
        <v>CUST154</v>
      </c>
      <c r="C746" s="1">
        <f t="shared" ca="1" si="45"/>
        <v>45905</v>
      </c>
      <c r="D746" t="s">
        <v>1251</v>
      </c>
      <c r="E746" t="s">
        <v>1256</v>
      </c>
      <c r="F746">
        <f t="shared" ca="1" si="46"/>
        <v>9</v>
      </c>
      <c r="G746">
        <v>80</v>
      </c>
      <c r="H746">
        <f t="shared" ca="1" si="47"/>
        <v>720</v>
      </c>
      <c r="I746" t="s">
        <v>214</v>
      </c>
      <c r="J746" t="str">
        <f ca="1">VLOOKUP(B746,Customer_Data!$A:$D,4,FALSE)</f>
        <v>Silver</v>
      </c>
    </row>
    <row r="747" spans="1:10" x14ac:dyDescent="0.35">
      <c r="A747" t="s">
        <v>994</v>
      </c>
      <c r="B747" t="str">
        <f t="shared" ca="1" si="44"/>
        <v>CUST015</v>
      </c>
      <c r="C747" s="1">
        <f t="shared" ca="1" si="45"/>
        <v>45690</v>
      </c>
      <c r="D747" t="s">
        <v>1251</v>
      </c>
      <c r="E747" t="s">
        <v>1256</v>
      </c>
      <c r="F747">
        <f t="shared" ca="1" si="46"/>
        <v>1</v>
      </c>
      <c r="G747">
        <v>80</v>
      </c>
      <c r="H747">
        <f t="shared" ca="1" si="47"/>
        <v>80</v>
      </c>
      <c r="I747" t="s">
        <v>214</v>
      </c>
      <c r="J747" t="str">
        <f ca="1">VLOOKUP(B747,Customer_Data!$A:$D,4,FALSE)</f>
        <v>Silver</v>
      </c>
    </row>
    <row r="748" spans="1:10" x14ac:dyDescent="0.35">
      <c r="A748" t="s">
        <v>995</v>
      </c>
      <c r="B748" t="str">
        <f t="shared" ca="1" si="44"/>
        <v>CUST020</v>
      </c>
      <c r="C748" s="1">
        <f t="shared" ca="1" si="45"/>
        <v>45686</v>
      </c>
      <c r="D748" t="s">
        <v>1252</v>
      </c>
      <c r="E748" t="s">
        <v>1257</v>
      </c>
      <c r="F748">
        <f t="shared" ca="1" si="46"/>
        <v>1</v>
      </c>
      <c r="G748">
        <v>120</v>
      </c>
      <c r="H748">
        <f t="shared" ca="1" si="47"/>
        <v>120</v>
      </c>
      <c r="I748" t="s">
        <v>214</v>
      </c>
      <c r="J748" t="str">
        <f ca="1">VLOOKUP(B748,Customer_Data!$A:$D,4,FALSE)</f>
        <v>Gold</v>
      </c>
    </row>
    <row r="749" spans="1:10" x14ac:dyDescent="0.35">
      <c r="A749" t="s">
        <v>996</v>
      </c>
      <c r="B749" t="str">
        <f t="shared" ca="1" si="44"/>
        <v>CUST018</v>
      </c>
      <c r="C749" s="1">
        <f t="shared" ca="1" si="45"/>
        <v>45678</v>
      </c>
      <c r="D749" t="s">
        <v>1252</v>
      </c>
      <c r="E749" t="s">
        <v>1257</v>
      </c>
      <c r="F749">
        <f t="shared" ca="1" si="46"/>
        <v>3</v>
      </c>
      <c r="G749">
        <v>120</v>
      </c>
      <c r="H749">
        <f t="shared" ca="1" si="47"/>
        <v>360</v>
      </c>
      <c r="I749" t="s">
        <v>213</v>
      </c>
      <c r="J749" t="str">
        <f ca="1">VLOOKUP(B749,Customer_Data!$A:$D,4,FALSE)</f>
        <v>Gold</v>
      </c>
    </row>
    <row r="750" spans="1:10" x14ac:dyDescent="0.35">
      <c r="A750" t="s">
        <v>997</v>
      </c>
      <c r="B750" t="str">
        <f t="shared" ca="1" si="44"/>
        <v>CUST023</v>
      </c>
      <c r="C750" s="1">
        <f t="shared" ca="1" si="45"/>
        <v>46012</v>
      </c>
      <c r="D750" t="s">
        <v>1251</v>
      </c>
      <c r="E750" t="s">
        <v>1256</v>
      </c>
      <c r="F750">
        <f t="shared" ca="1" si="46"/>
        <v>2</v>
      </c>
      <c r="G750">
        <v>80</v>
      </c>
      <c r="H750">
        <f t="shared" ca="1" si="47"/>
        <v>160</v>
      </c>
      <c r="I750" t="s">
        <v>214</v>
      </c>
      <c r="J750" t="str">
        <f ca="1">VLOOKUP(B750,Customer_Data!$A:$D,4,FALSE)</f>
        <v>Regular</v>
      </c>
    </row>
    <row r="751" spans="1:10" x14ac:dyDescent="0.35">
      <c r="A751" t="s">
        <v>998</v>
      </c>
      <c r="B751" t="str">
        <f t="shared" ca="1" si="44"/>
        <v>CUST076</v>
      </c>
      <c r="C751" s="1">
        <f t="shared" ca="1" si="45"/>
        <v>45964</v>
      </c>
      <c r="D751" t="s">
        <v>1252</v>
      </c>
      <c r="E751" t="s">
        <v>1257</v>
      </c>
      <c r="F751">
        <f t="shared" ca="1" si="46"/>
        <v>9</v>
      </c>
      <c r="G751">
        <v>120</v>
      </c>
      <c r="H751">
        <f t="shared" ca="1" si="47"/>
        <v>1080</v>
      </c>
      <c r="I751" t="s">
        <v>213</v>
      </c>
      <c r="J751" t="str">
        <f ca="1">VLOOKUP(B751,Customer_Data!$A:$D,4,FALSE)</f>
        <v>Silver</v>
      </c>
    </row>
    <row r="752" spans="1:10" x14ac:dyDescent="0.35">
      <c r="A752" t="s">
        <v>999</v>
      </c>
      <c r="B752" t="str">
        <f t="shared" ca="1" si="44"/>
        <v>CUST008</v>
      </c>
      <c r="C752" s="1">
        <f t="shared" ca="1" si="45"/>
        <v>45680</v>
      </c>
      <c r="D752" t="s">
        <v>1251</v>
      </c>
      <c r="E752" t="s">
        <v>1256</v>
      </c>
      <c r="F752">
        <f t="shared" ca="1" si="46"/>
        <v>5</v>
      </c>
      <c r="G752">
        <v>80</v>
      </c>
      <c r="H752">
        <f t="shared" ca="1" si="47"/>
        <v>400</v>
      </c>
      <c r="I752" t="s">
        <v>213</v>
      </c>
      <c r="J752" t="str">
        <f ca="1">VLOOKUP(B752,Customer_Data!$A:$D,4,FALSE)</f>
        <v>Regular</v>
      </c>
    </row>
    <row r="753" spans="1:10" x14ac:dyDescent="0.35">
      <c r="A753" t="s">
        <v>1000</v>
      </c>
      <c r="B753" t="str">
        <f t="shared" ca="1" si="44"/>
        <v>CUST030</v>
      </c>
      <c r="C753" s="1">
        <f t="shared" ca="1" si="45"/>
        <v>45996</v>
      </c>
      <c r="D753" t="s">
        <v>1252</v>
      </c>
      <c r="E753" t="s">
        <v>1257</v>
      </c>
      <c r="F753">
        <f t="shared" ca="1" si="46"/>
        <v>2</v>
      </c>
      <c r="G753">
        <v>120</v>
      </c>
      <c r="H753">
        <f t="shared" ca="1" si="47"/>
        <v>240</v>
      </c>
      <c r="I753" t="s">
        <v>212</v>
      </c>
      <c r="J753" t="str">
        <f ca="1">VLOOKUP(B753,Customer_Data!$A:$D,4,FALSE)</f>
        <v>Regular</v>
      </c>
    </row>
    <row r="754" spans="1:10" x14ac:dyDescent="0.35">
      <c r="A754" t="s">
        <v>1001</v>
      </c>
      <c r="B754" t="str">
        <f t="shared" ca="1" si="44"/>
        <v>CUST046</v>
      </c>
      <c r="C754" s="1">
        <f t="shared" ca="1" si="45"/>
        <v>45863</v>
      </c>
      <c r="D754" t="s">
        <v>1250</v>
      </c>
      <c r="E754" t="s">
        <v>1255</v>
      </c>
      <c r="F754">
        <f t="shared" ca="1" si="46"/>
        <v>4</v>
      </c>
      <c r="G754">
        <v>60</v>
      </c>
      <c r="H754">
        <f t="shared" ca="1" si="47"/>
        <v>240</v>
      </c>
      <c r="I754" t="s">
        <v>212</v>
      </c>
      <c r="J754" t="str">
        <f ca="1">VLOOKUP(B754,Customer_Data!$A:$D,4,FALSE)</f>
        <v>Regular</v>
      </c>
    </row>
    <row r="755" spans="1:10" x14ac:dyDescent="0.35">
      <c r="A755" t="s">
        <v>1002</v>
      </c>
      <c r="B755" t="str">
        <f t="shared" ca="1" si="44"/>
        <v>CUST073</v>
      </c>
      <c r="C755" s="1">
        <f t="shared" ca="1" si="45"/>
        <v>45864</v>
      </c>
      <c r="D755" t="s">
        <v>1251</v>
      </c>
      <c r="E755" t="s">
        <v>1256</v>
      </c>
      <c r="F755">
        <f t="shared" ca="1" si="46"/>
        <v>8</v>
      </c>
      <c r="G755">
        <v>80</v>
      </c>
      <c r="H755">
        <f t="shared" ca="1" si="47"/>
        <v>640</v>
      </c>
      <c r="I755" t="s">
        <v>213</v>
      </c>
      <c r="J755" t="str">
        <f ca="1">VLOOKUP(B755,Customer_Data!$A:$D,4,FALSE)</f>
        <v>Silver</v>
      </c>
    </row>
    <row r="756" spans="1:10" x14ac:dyDescent="0.35">
      <c r="A756" t="s">
        <v>1003</v>
      </c>
      <c r="B756" t="str">
        <f t="shared" ca="1" si="44"/>
        <v>CUST105</v>
      </c>
      <c r="C756" s="1">
        <f t="shared" ca="1" si="45"/>
        <v>45855</v>
      </c>
      <c r="D756" t="s">
        <v>1249</v>
      </c>
      <c r="E756" t="s">
        <v>1254</v>
      </c>
      <c r="F756">
        <f t="shared" ca="1" si="46"/>
        <v>5</v>
      </c>
      <c r="G756">
        <v>25</v>
      </c>
      <c r="H756">
        <f t="shared" ca="1" si="47"/>
        <v>125</v>
      </c>
      <c r="I756" t="s">
        <v>213</v>
      </c>
      <c r="J756" t="str">
        <f ca="1">VLOOKUP(B756,Customer_Data!$A:$D,4,FALSE)</f>
        <v>Regular</v>
      </c>
    </row>
    <row r="757" spans="1:10" x14ac:dyDescent="0.35">
      <c r="A757" t="s">
        <v>1004</v>
      </c>
      <c r="B757" t="str">
        <f t="shared" ca="1" si="44"/>
        <v>CUST058</v>
      </c>
      <c r="C757" s="1">
        <f t="shared" ca="1" si="45"/>
        <v>45788</v>
      </c>
      <c r="D757" t="s">
        <v>1251</v>
      </c>
      <c r="E757" t="s">
        <v>1256</v>
      </c>
      <c r="F757">
        <f t="shared" ca="1" si="46"/>
        <v>2</v>
      </c>
      <c r="G757">
        <v>80</v>
      </c>
      <c r="H757">
        <f t="shared" ca="1" si="47"/>
        <v>160</v>
      </c>
      <c r="I757" t="s">
        <v>214</v>
      </c>
      <c r="J757" t="str">
        <f ca="1">VLOOKUP(B757,Customer_Data!$A:$D,4,FALSE)</f>
        <v>Gold</v>
      </c>
    </row>
    <row r="758" spans="1:10" x14ac:dyDescent="0.35">
      <c r="A758" t="s">
        <v>1005</v>
      </c>
      <c r="B758" t="str">
        <f t="shared" ca="1" si="44"/>
        <v>CUST170</v>
      </c>
      <c r="C758" s="1">
        <f t="shared" ca="1" si="45"/>
        <v>45772</v>
      </c>
      <c r="D758" t="s">
        <v>1249</v>
      </c>
      <c r="E758" t="s">
        <v>1254</v>
      </c>
      <c r="F758">
        <f t="shared" ca="1" si="46"/>
        <v>8</v>
      </c>
      <c r="G758">
        <v>25</v>
      </c>
      <c r="H758">
        <f t="shared" ca="1" si="47"/>
        <v>200</v>
      </c>
      <c r="I758" t="s">
        <v>214</v>
      </c>
      <c r="J758" t="str">
        <f ca="1">VLOOKUP(B758,Customer_Data!$A:$D,4,FALSE)</f>
        <v>Regular</v>
      </c>
    </row>
    <row r="759" spans="1:10" x14ac:dyDescent="0.35">
      <c r="A759" t="s">
        <v>1006</v>
      </c>
      <c r="B759" t="str">
        <f t="shared" ca="1" si="44"/>
        <v>CUST070</v>
      </c>
      <c r="C759" s="1">
        <f t="shared" ca="1" si="45"/>
        <v>45861</v>
      </c>
      <c r="D759" t="s">
        <v>1253</v>
      </c>
      <c r="E759" t="s">
        <v>1258</v>
      </c>
      <c r="F759">
        <f t="shared" ca="1" si="46"/>
        <v>5</v>
      </c>
      <c r="G759">
        <v>90</v>
      </c>
      <c r="H759">
        <f t="shared" ca="1" si="47"/>
        <v>450</v>
      </c>
      <c r="I759" t="s">
        <v>213</v>
      </c>
      <c r="J759" t="str">
        <f ca="1">VLOOKUP(B759,Customer_Data!$A:$D,4,FALSE)</f>
        <v>Regular</v>
      </c>
    </row>
    <row r="760" spans="1:10" x14ac:dyDescent="0.35">
      <c r="A760" t="s">
        <v>1007</v>
      </c>
      <c r="B760" t="str">
        <f t="shared" ca="1" si="44"/>
        <v>CUST156</v>
      </c>
      <c r="C760" s="1">
        <f t="shared" ca="1" si="45"/>
        <v>45776</v>
      </c>
      <c r="D760" t="s">
        <v>1251</v>
      </c>
      <c r="E760" t="s">
        <v>1256</v>
      </c>
      <c r="F760">
        <f t="shared" ca="1" si="46"/>
        <v>6</v>
      </c>
      <c r="G760">
        <v>80</v>
      </c>
      <c r="H760">
        <f t="shared" ca="1" si="47"/>
        <v>480</v>
      </c>
      <c r="I760" t="s">
        <v>211</v>
      </c>
      <c r="J760" t="str">
        <f ca="1">VLOOKUP(B760,Customer_Data!$A:$D,4,FALSE)</f>
        <v>Silver</v>
      </c>
    </row>
    <row r="761" spans="1:10" x14ac:dyDescent="0.35">
      <c r="A761" t="s">
        <v>1008</v>
      </c>
      <c r="B761" t="str">
        <f t="shared" ca="1" si="44"/>
        <v>CUST131</v>
      </c>
      <c r="C761" s="1">
        <f t="shared" ca="1" si="45"/>
        <v>45847</v>
      </c>
      <c r="D761" t="s">
        <v>1250</v>
      </c>
      <c r="E761" t="s">
        <v>1255</v>
      </c>
      <c r="F761">
        <f t="shared" ca="1" si="46"/>
        <v>1</v>
      </c>
      <c r="G761">
        <v>60</v>
      </c>
      <c r="H761">
        <f t="shared" ca="1" si="47"/>
        <v>60</v>
      </c>
      <c r="I761" t="s">
        <v>211</v>
      </c>
      <c r="J761" t="str">
        <f ca="1">VLOOKUP(B761,Customer_Data!$A:$D,4,FALSE)</f>
        <v>Regular</v>
      </c>
    </row>
    <row r="762" spans="1:10" x14ac:dyDescent="0.35">
      <c r="A762" t="s">
        <v>1009</v>
      </c>
      <c r="B762" t="str">
        <f t="shared" ca="1" si="44"/>
        <v>CUST174</v>
      </c>
      <c r="C762" s="1">
        <f t="shared" ca="1" si="45"/>
        <v>45834</v>
      </c>
      <c r="D762" t="s">
        <v>1250</v>
      </c>
      <c r="E762" t="s">
        <v>1255</v>
      </c>
      <c r="F762">
        <f t="shared" ca="1" si="46"/>
        <v>1</v>
      </c>
      <c r="G762">
        <v>60</v>
      </c>
      <c r="H762">
        <f t="shared" ca="1" si="47"/>
        <v>60</v>
      </c>
      <c r="I762" t="s">
        <v>211</v>
      </c>
      <c r="J762" t="str">
        <f ca="1">VLOOKUP(B762,Customer_Data!$A:$D,4,FALSE)</f>
        <v>Silver</v>
      </c>
    </row>
    <row r="763" spans="1:10" x14ac:dyDescent="0.35">
      <c r="A763" t="s">
        <v>1010</v>
      </c>
      <c r="B763" t="str">
        <f t="shared" ca="1" si="44"/>
        <v>CUST144</v>
      </c>
      <c r="C763" s="1">
        <f t="shared" ca="1" si="45"/>
        <v>45799</v>
      </c>
      <c r="D763" t="s">
        <v>1251</v>
      </c>
      <c r="E763" t="s">
        <v>1256</v>
      </c>
      <c r="F763">
        <f t="shared" ca="1" si="46"/>
        <v>1</v>
      </c>
      <c r="G763">
        <v>80</v>
      </c>
      <c r="H763">
        <f t="shared" ca="1" si="47"/>
        <v>80</v>
      </c>
      <c r="I763" t="s">
        <v>211</v>
      </c>
      <c r="J763" t="str">
        <f ca="1">VLOOKUP(B763,Customer_Data!$A:$D,4,FALSE)</f>
        <v>Regular</v>
      </c>
    </row>
    <row r="764" spans="1:10" x14ac:dyDescent="0.35">
      <c r="A764" t="s">
        <v>1011</v>
      </c>
      <c r="B764" t="str">
        <f t="shared" ca="1" si="44"/>
        <v>CUST029</v>
      </c>
      <c r="C764" s="1">
        <f t="shared" ca="1" si="45"/>
        <v>45807</v>
      </c>
      <c r="D764" t="s">
        <v>1251</v>
      </c>
      <c r="E764" t="s">
        <v>1256</v>
      </c>
      <c r="F764">
        <f t="shared" ca="1" si="46"/>
        <v>7</v>
      </c>
      <c r="G764">
        <v>80</v>
      </c>
      <c r="H764">
        <f t="shared" ca="1" si="47"/>
        <v>560</v>
      </c>
      <c r="I764" t="s">
        <v>214</v>
      </c>
      <c r="J764" t="str">
        <f ca="1">VLOOKUP(B764,Customer_Data!$A:$D,4,FALSE)</f>
        <v>Regular</v>
      </c>
    </row>
    <row r="765" spans="1:10" x14ac:dyDescent="0.35">
      <c r="A765" t="s">
        <v>1012</v>
      </c>
      <c r="B765" t="str">
        <f t="shared" ca="1" si="44"/>
        <v>CUST043</v>
      </c>
      <c r="C765" s="1">
        <f t="shared" ca="1" si="45"/>
        <v>45818</v>
      </c>
      <c r="D765" t="s">
        <v>1250</v>
      </c>
      <c r="E765" t="s">
        <v>1255</v>
      </c>
      <c r="F765">
        <f t="shared" ca="1" si="46"/>
        <v>9</v>
      </c>
      <c r="G765">
        <v>60</v>
      </c>
      <c r="H765">
        <f t="shared" ca="1" si="47"/>
        <v>540</v>
      </c>
      <c r="I765" t="s">
        <v>212</v>
      </c>
      <c r="J765" t="str">
        <f ca="1">VLOOKUP(B765,Customer_Data!$A:$D,4,FALSE)</f>
        <v>Regular</v>
      </c>
    </row>
    <row r="766" spans="1:10" x14ac:dyDescent="0.35">
      <c r="A766" t="s">
        <v>1013</v>
      </c>
      <c r="B766" t="str">
        <f t="shared" ca="1" si="44"/>
        <v>CUST144</v>
      </c>
      <c r="C766" s="1">
        <f t="shared" ca="1" si="45"/>
        <v>45936</v>
      </c>
      <c r="D766" t="s">
        <v>1253</v>
      </c>
      <c r="E766" t="s">
        <v>1258</v>
      </c>
      <c r="F766">
        <f t="shared" ca="1" si="46"/>
        <v>5</v>
      </c>
      <c r="G766">
        <v>90</v>
      </c>
      <c r="H766">
        <f t="shared" ca="1" si="47"/>
        <v>450</v>
      </c>
      <c r="I766" t="s">
        <v>214</v>
      </c>
      <c r="J766" t="str">
        <f ca="1">VLOOKUP(B766,Customer_Data!$A:$D,4,FALSE)</f>
        <v>Regular</v>
      </c>
    </row>
    <row r="767" spans="1:10" x14ac:dyDescent="0.35">
      <c r="A767" t="s">
        <v>1014</v>
      </c>
      <c r="B767" t="str">
        <f t="shared" ca="1" si="44"/>
        <v>CUST016</v>
      </c>
      <c r="C767" s="1">
        <f t="shared" ca="1" si="45"/>
        <v>45823</v>
      </c>
      <c r="D767" t="s">
        <v>1253</v>
      </c>
      <c r="E767" t="s">
        <v>1258</v>
      </c>
      <c r="F767">
        <f t="shared" ca="1" si="46"/>
        <v>9</v>
      </c>
      <c r="G767">
        <v>90</v>
      </c>
      <c r="H767">
        <f t="shared" ca="1" si="47"/>
        <v>810</v>
      </c>
      <c r="I767" t="s">
        <v>211</v>
      </c>
      <c r="J767" t="str">
        <f ca="1">VLOOKUP(B767,Customer_Data!$A:$D,4,FALSE)</f>
        <v>Silver</v>
      </c>
    </row>
    <row r="768" spans="1:10" x14ac:dyDescent="0.35">
      <c r="A768" t="s">
        <v>1015</v>
      </c>
      <c r="B768" t="str">
        <f t="shared" ca="1" si="44"/>
        <v>CUST091</v>
      </c>
      <c r="C768" s="1">
        <f t="shared" ca="1" si="45"/>
        <v>45672</v>
      </c>
      <c r="D768" t="s">
        <v>1253</v>
      </c>
      <c r="E768" t="s">
        <v>1258</v>
      </c>
      <c r="F768">
        <f t="shared" ca="1" si="46"/>
        <v>9</v>
      </c>
      <c r="G768">
        <v>90</v>
      </c>
      <c r="H768">
        <f t="shared" ca="1" si="47"/>
        <v>810</v>
      </c>
      <c r="I768" t="s">
        <v>212</v>
      </c>
      <c r="J768" t="str">
        <f ca="1">VLOOKUP(B768,Customer_Data!$A:$D,4,FALSE)</f>
        <v>Regular</v>
      </c>
    </row>
    <row r="769" spans="1:10" x14ac:dyDescent="0.35">
      <c r="A769" t="s">
        <v>1016</v>
      </c>
      <c r="B769" t="str">
        <f t="shared" ca="1" si="44"/>
        <v>CUST154</v>
      </c>
      <c r="C769" s="1">
        <f t="shared" ca="1" si="45"/>
        <v>45670</v>
      </c>
      <c r="D769" t="s">
        <v>1250</v>
      </c>
      <c r="E769" t="s">
        <v>1255</v>
      </c>
      <c r="F769">
        <f t="shared" ca="1" si="46"/>
        <v>2</v>
      </c>
      <c r="G769">
        <v>60</v>
      </c>
      <c r="H769">
        <f t="shared" ca="1" si="47"/>
        <v>120</v>
      </c>
      <c r="I769" t="s">
        <v>213</v>
      </c>
      <c r="J769" t="str">
        <f ca="1">VLOOKUP(B769,Customer_Data!$A:$D,4,FALSE)</f>
        <v>Silver</v>
      </c>
    </row>
    <row r="770" spans="1:10" x14ac:dyDescent="0.35">
      <c r="A770" t="s">
        <v>1017</v>
      </c>
      <c r="B770" t="str">
        <f t="shared" ca="1" si="44"/>
        <v>CUST049</v>
      </c>
      <c r="C770" s="1">
        <f t="shared" ca="1" si="45"/>
        <v>46008</v>
      </c>
      <c r="D770" t="s">
        <v>1253</v>
      </c>
      <c r="E770" t="s">
        <v>1258</v>
      </c>
      <c r="F770">
        <f t="shared" ca="1" si="46"/>
        <v>2</v>
      </c>
      <c r="G770">
        <v>90</v>
      </c>
      <c r="H770">
        <f t="shared" ca="1" si="47"/>
        <v>180</v>
      </c>
      <c r="I770" t="s">
        <v>214</v>
      </c>
      <c r="J770" t="str">
        <f ca="1">VLOOKUP(B770,Customer_Data!$A:$D,4,FALSE)</f>
        <v>Regular</v>
      </c>
    </row>
    <row r="771" spans="1:10" x14ac:dyDescent="0.35">
      <c r="A771" t="s">
        <v>1018</v>
      </c>
      <c r="B771" t="str">
        <f t="shared" ref="B771:B834" ca="1" si="48">"CUST"&amp;TEXT(RANDBETWEEN(1,200),"000")</f>
        <v>CUST094</v>
      </c>
      <c r="C771" s="1">
        <f t="shared" ref="C771:C834" ca="1" si="49">DATE(2025,1,1)+RANDBETWEEN(0,364)</f>
        <v>45930</v>
      </c>
      <c r="D771" t="s">
        <v>1253</v>
      </c>
      <c r="E771" t="s">
        <v>1258</v>
      </c>
      <c r="F771">
        <f t="shared" ref="F771:F834" ca="1" si="50">RANDBETWEEN(1,10)</f>
        <v>7</v>
      </c>
      <c r="G771">
        <v>90</v>
      </c>
      <c r="H771">
        <f t="shared" ref="H771:H834" ca="1" si="51">F771*G771</f>
        <v>630</v>
      </c>
      <c r="I771" t="s">
        <v>213</v>
      </c>
      <c r="J771" t="str">
        <f ca="1">VLOOKUP(B771,Customer_Data!$A:$D,4,FALSE)</f>
        <v>Silver</v>
      </c>
    </row>
    <row r="772" spans="1:10" x14ac:dyDescent="0.35">
      <c r="A772" t="s">
        <v>1019</v>
      </c>
      <c r="B772" t="str">
        <f t="shared" ca="1" si="48"/>
        <v>CUST187</v>
      </c>
      <c r="C772" s="1">
        <f t="shared" ca="1" si="49"/>
        <v>45700</v>
      </c>
      <c r="D772" t="s">
        <v>1251</v>
      </c>
      <c r="E772" t="s">
        <v>1256</v>
      </c>
      <c r="F772">
        <f t="shared" ca="1" si="50"/>
        <v>3</v>
      </c>
      <c r="G772">
        <v>80</v>
      </c>
      <c r="H772">
        <f t="shared" ca="1" si="51"/>
        <v>240</v>
      </c>
      <c r="I772" t="s">
        <v>212</v>
      </c>
      <c r="J772" t="str">
        <f ca="1">VLOOKUP(B772,Customer_Data!$A:$D,4,FALSE)</f>
        <v>Regular</v>
      </c>
    </row>
    <row r="773" spans="1:10" x14ac:dyDescent="0.35">
      <c r="A773" t="s">
        <v>1020</v>
      </c>
      <c r="B773" t="str">
        <f t="shared" ca="1" si="48"/>
        <v>CUST106</v>
      </c>
      <c r="C773" s="1">
        <f t="shared" ca="1" si="49"/>
        <v>45809</v>
      </c>
      <c r="D773" t="s">
        <v>1251</v>
      </c>
      <c r="E773" t="s">
        <v>1256</v>
      </c>
      <c r="F773">
        <f t="shared" ca="1" si="50"/>
        <v>7</v>
      </c>
      <c r="G773">
        <v>80</v>
      </c>
      <c r="H773">
        <f t="shared" ca="1" si="51"/>
        <v>560</v>
      </c>
      <c r="I773" t="s">
        <v>212</v>
      </c>
      <c r="J773" t="str">
        <f ca="1">VLOOKUP(B773,Customer_Data!$A:$D,4,FALSE)</f>
        <v>Regular</v>
      </c>
    </row>
    <row r="774" spans="1:10" x14ac:dyDescent="0.35">
      <c r="A774" t="s">
        <v>1021</v>
      </c>
      <c r="B774" t="str">
        <f t="shared" ca="1" si="48"/>
        <v>CUST031</v>
      </c>
      <c r="C774" s="1">
        <f t="shared" ca="1" si="49"/>
        <v>46008</v>
      </c>
      <c r="D774" t="s">
        <v>1253</v>
      </c>
      <c r="E774" t="s">
        <v>1258</v>
      </c>
      <c r="F774">
        <f t="shared" ca="1" si="50"/>
        <v>4</v>
      </c>
      <c r="G774">
        <v>90</v>
      </c>
      <c r="H774">
        <f t="shared" ca="1" si="51"/>
        <v>360</v>
      </c>
      <c r="I774" t="s">
        <v>212</v>
      </c>
      <c r="J774" t="str">
        <f ca="1">VLOOKUP(B774,Customer_Data!$A:$D,4,FALSE)</f>
        <v>Regular</v>
      </c>
    </row>
    <row r="775" spans="1:10" x14ac:dyDescent="0.35">
      <c r="A775" t="s">
        <v>1022</v>
      </c>
      <c r="B775" t="str">
        <f t="shared" ca="1" si="48"/>
        <v>CUST181</v>
      </c>
      <c r="C775" s="1">
        <f t="shared" ca="1" si="49"/>
        <v>45682</v>
      </c>
      <c r="D775" t="s">
        <v>1251</v>
      </c>
      <c r="E775" t="s">
        <v>1256</v>
      </c>
      <c r="F775">
        <f t="shared" ca="1" si="50"/>
        <v>10</v>
      </c>
      <c r="G775">
        <v>80</v>
      </c>
      <c r="H775">
        <f t="shared" ca="1" si="51"/>
        <v>800</v>
      </c>
      <c r="I775" t="s">
        <v>211</v>
      </c>
      <c r="J775" t="str">
        <f ca="1">VLOOKUP(B775,Customer_Data!$A:$D,4,FALSE)</f>
        <v>Regular</v>
      </c>
    </row>
    <row r="776" spans="1:10" x14ac:dyDescent="0.35">
      <c r="A776" t="s">
        <v>1023</v>
      </c>
      <c r="B776" t="str">
        <f t="shared" ca="1" si="48"/>
        <v>CUST176</v>
      </c>
      <c r="C776" s="1">
        <f t="shared" ca="1" si="49"/>
        <v>45965</v>
      </c>
      <c r="D776" t="s">
        <v>1251</v>
      </c>
      <c r="E776" t="s">
        <v>1256</v>
      </c>
      <c r="F776">
        <f t="shared" ca="1" si="50"/>
        <v>8</v>
      </c>
      <c r="G776">
        <v>80</v>
      </c>
      <c r="H776">
        <f t="shared" ca="1" si="51"/>
        <v>640</v>
      </c>
      <c r="I776" t="s">
        <v>213</v>
      </c>
      <c r="J776" t="str">
        <f ca="1">VLOOKUP(B776,Customer_Data!$A:$D,4,FALSE)</f>
        <v>Silver</v>
      </c>
    </row>
    <row r="777" spans="1:10" x14ac:dyDescent="0.35">
      <c r="A777" t="s">
        <v>1024</v>
      </c>
      <c r="B777" t="str">
        <f t="shared" ca="1" si="48"/>
        <v>CUST164</v>
      </c>
      <c r="C777" s="1">
        <f t="shared" ca="1" si="49"/>
        <v>45665</v>
      </c>
      <c r="D777" t="s">
        <v>1249</v>
      </c>
      <c r="E777" t="s">
        <v>1254</v>
      </c>
      <c r="F777">
        <f t="shared" ca="1" si="50"/>
        <v>10</v>
      </c>
      <c r="G777">
        <v>25</v>
      </c>
      <c r="H777">
        <f t="shared" ca="1" si="51"/>
        <v>250</v>
      </c>
      <c r="I777" t="s">
        <v>212</v>
      </c>
      <c r="J777" t="str">
        <f ca="1">VLOOKUP(B777,Customer_Data!$A:$D,4,FALSE)</f>
        <v>Regular</v>
      </c>
    </row>
    <row r="778" spans="1:10" x14ac:dyDescent="0.35">
      <c r="A778" t="s">
        <v>1025</v>
      </c>
      <c r="B778" t="str">
        <f t="shared" ca="1" si="48"/>
        <v>CUST119</v>
      </c>
      <c r="C778" s="1">
        <f t="shared" ca="1" si="49"/>
        <v>45863</v>
      </c>
      <c r="D778" t="s">
        <v>1252</v>
      </c>
      <c r="E778" t="s">
        <v>1257</v>
      </c>
      <c r="F778">
        <f t="shared" ca="1" si="50"/>
        <v>9</v>
      </c>
      <c r="G778">
        <v>120</v>
      </c>
      <c r="H778">
        <f t="shared" ca="1" si="51"/>
        <v>1080</v>
      </c>
      <c r="I778" t="s">
        <v>212</v>
      </c>
      <c r="J778" t="str">
        <f ca="1">VLOOKUP(B778,Customer_Data!$A:$D,4,FALSE)</f>
        <v>Gold</v>
      </c>
    </row>
    <row r="779" spans="1:10" x14ac:dyDescent="0.35">
      <c r="A779" t="s">
        <v>1026</v>
      </c>
      <c r="B779" t="str">
        <f t="shared" ca="1" si="48"/>
        <v>CUST154</v>
      </c>
      <c r="C779" s="1">
        <f t="shared" ca="1" si="49"/>
        <v>45862</v>
      </c>
      <c r="D779" t="s">
        <v>1252</v>
      </c>
      <c r="E779" t="s">
        <v>1257</v>
      </c>
      <c r="F779">
        <f t="shared" ca="1" si="50"/>
        <v>6</v>
      </c>
      <c r="G779">
        <v>120</v>
      </c>
      <c r="H779">
        <f t="shared" ca="1" si="51"/>
        <v>720</v>
      </c>
      <c r="I779" t="s">
        <v>214</v>
      </c>
      <c r="J779" t="str">
        <f ca="1">VLOOKUP(B779,Customer_Data!$A:$D,4,FALSE)</f>
        <v>Silver</v>
      </c>
    </row>
    <row r="780" spans="1:10" x14ac:dyDescent="0.35">
      <c r="A780" t="s">
        <v>1027</v>
      </c>
      <c r="B780" t="str">
        <f t="shared" ca="1" si="48"/>
        <v>CUST063</v>
      </c>
      <c r="C780" s="1">
        <f t="shared" ca="1" si="49"/>
        <v>45833</v>
      </c>
      <c r="D780" t="s">
        <v>1251</v>
      </c>
      <c r="E780" t="s">
        <v>1256</v>
      </c>
      <c r="F780">
        <f t="shared" ca="1" si="50"/>
        <v>8</v>
      </c>
      <c r="G780">
        <v>80</v>
      </c>
      <c r="H780">
        <f t="shared" ca="1" si="51"/>
        <v>640</v>
      </c>
      <c r="I780" t="s">
        <v>213</v>
      </c>
      <c r="J780" t="str">
        <f ca="1">VLOOKUP(B780,Customer_Data!$A:$D,4,FALSE)</f>
        <v>Regular</v>
      </c>
    </row>
    <row r="781" spans="1:10" x14ac:dyDescent="0.35">
      <c r="A781" t="s">
        <v>1028</v>
      </c>
      <c r="B781" t="str">
        <f t="shared" ca="1" si="48"/>
        <v>CUST083</v>
      </c>
      <c r="C781" s="1">
        <f t="shared" ca="1" si="49"/>
        <v>45932</v>
      </c>
      <c r="D781" t="s">
        <v>1249</v>
      </c>
      <c r="E781" t="s">
        <v>1254</v>
      </c>
      <c r="F781">
        <f t="shared" ca="1" si="50"/>
        <v>3</v>
      </c>
      <c r="G781">
        <v>25</v>
      </c>
      <c r="H781">
        <f t="shared" ca="1" si="51"/>
        <v>75</v>
      </c>
      <c r="I781" t="s">
        <v>213</v>
      </c>
      <c r="J781" t="str">
        <f ca="1">VLOOKUP(B781,Customer_Data!$A:$D,4,FALSE)</f>
        <v>Regular</v>
      </c>
    </row>
    <row r="782" spans="1:10" x14ac:dyDescent="0.35">
      <c r="A782" t="s">
        <v>1029</v>
      </c>
      <c r="B782" t="str">
        <f t="shared" ca="1" si="48"/>
        <v>CUST038</v>
      </c>
      <c r="C782" s="1">
        <f t="shared" ca="1" si="49"/>
        <v>45658</v>
      </c>
      <c r="D782" t="s">
        <v>1251</v>
      </c>
      <c r="E782" t="s">
        <v>1256</v>
      </c>
      <c r="F782">
        <f t="shared" ca="1" si="50"/>
        <v>3</v>
      </c>
      <c r="G782">
        <v>80</v>
      </c>
      <c r="H782">
        <f t="shared" ca="1" si="51"/>
        <v>240</v>
      </c>
      <c r="I782" t="s">
        <v>212</v>
      </c>
      <c r="J782" t="str">
        <f ca="1">VLOOKUP(B782,Customer_Data!$A:$D,4,FALSE)</f>
        <v>Gold</v>
      </c>
    </row>
    <row r="783" spans="1:10" x14ac:dyDescent="0.35">
      <c r="A783" t="s">
        <v>1030</v>
      </c>
      <c r="B783" t="str">
        <f t="shared" ca="1" si="48"/>
        <v>CUST040</v>
      </c>
      <c r="C783" s="1">
        <f t="shared" ca="1" si="49"/>
        <v>45824</v>
      </c>
      <c r="D783" t="s">
        <v>1253</v>
      </c>
      <c r="E783" t="s">
        <v>1258</v>
      </c>
      <c r="F783">
        <f t="shared" ca="1" si="50"/>
        <v>9</v>
      </c>
      <c r="G783">
        <v>90</v>
      </c>
      <c r="H783">
        <f t="shared" ca="1" si="51"/>
        <v>810</v>
      </c>
      <c r="I783" t="s">
        <v>214</v>
      </c>
      <c r="J783" t="str">
        <f ca="1">VLOOKUP(B783,Customer_Data!$A:$D,4,FALSE)</f>
        <v>Gold</v>
      </c>
    </row>
    <row r="784" spans="1:10" x14ac:dyDescent="0.35">
      <c r="A784" t="s">
        <v>1031</v>
      </c>
      <c r="B784" t="str">
        <f t="shared" ca="1" si="48"/>
        <v>CUST198</v>
      </c>
      <c r="C784" s="1">
        <f t="shared" ca="1" si="49"/>
        <v>45957</v>
      </c>
      <c r="D784" t="s">
        <v>1252</v>
      </c>
      <c r="E784" t="s">
        <v>1257</v>
      </c>
      <c r="F784">
        <f t="shared" ca="1" si="50"/>
        <v>1</v>
      </c>
      <c r="G784">
        <v>120</v>
      </c>
      <c r="H784">
        <f t="shared" ca="1" si="51"/>
        <v>120</v>
      </c>
      <c r="I784" t="s">
        <v>214</v>
      </c>
      <c r="J784" t="str">
        <f ca="1">VLOOKUP(B784,Customer_Data!$A:$D,4,FALSE)</f>
        <v>Gold</v>
      </c>
    </row>
    <row r="785" spans="1:10" x14ac:dyDescent="0.35">
      <c r="A785" t="s">
        <v>1032</v>
      </c>
      <c r="B785" t="str">
        <f t="shared" ca="1" si="48"/>
        <v>CUST042</v>
      </c>
      <c r="C785" s="1">
        <f t="shared" ca="1" si="49"/>
        <v>45734</v>
      </c>
      <c r="D785" t="s">
        <v>1249</v>
      </c>
      <c r="E785" t="s">
        <v>1254</v>
      </c>
      <c r="F785">
        <f t="shared" ca="1" si="50"/>
        <v>9</v>
      </c>
      <c r="G785">
        <v>25</v>
      </c>
      <c r="H785">
        <f t="shared" ca="1" si="51"/>
        <v>225</v>
      </c>
      <c r="I785" t="s">
        <v>211</v>
      </c>
      <c r="J785" t="str">
        <f ca="1">VLOOKUP(B785,Customer_Data!$A:$D,4,FALSE)</f>
        <v>Regular</v>
      </c>
    </row>
    <row r="786" spans="1:10" x14ac:dyDescent="0.35">
      <c r="A786" t="s">
        <v>1033</v>
      </c>
      <c r="B786" t="str">
        <f t="shared" ca="1" si="48"/>
        <v>CUST076</v>
      </c>
      <c r="C786" s="1">
        <f t="shared" ca="1" si="49"/>
        <v>45995</v>
      </c>
      <c r="D786" t="s">
        <v>1250</v>
      </c>
      <c r="E786" t="s">
        <v>1255</v>
      </c>
      <c r="F786">
        <f t="shared" ca="1" si="50"/>
        <v>8</v>
      </c>
      <c r="G786">
        <v>60</v>
      </c>
      <c r="H786">
        <f t="shared" ca="1" si="51"/>
        <v>480</v>
      </c>
      <c r="I786" t="s">
        <v>214</v>
      </c>
      <c r="J786" t="str">
        <f ca="1">VLOOKUP(B786,Customer_Data!$A:$D,4,FALSE)</f>
        <v>Silver</v>
      </c>
    </row>
    <row r="787" spans="1:10" x14ac:dyDescent="0.35">
      <c r="A787" t="s">
        <v>1034</v>
      </c>
      <c r="B787" t="str">
        <f t="shared" ca="1" si="48"/>
        <v>CUST071</v>
      </c>
      <c r="C787" s="1">
        <f t="shared" ca="1" si="49"/>
        <v>45795</v>
      </c>
      <c r="D787" t="s">
        <v>1250</v>
      </c>
      <c r="E787" t="s">
        <v>1255</v>
      </c>
      <c r="F787">
        <f t="shared" ca="1" si="50"/>
        <v>4</v>
      </c>
      <c r="G787">
        <v>60</v>
      </c>
      <c r="H787">
        <f t="shared" ca="1" si="51"/>
        <v>240</v>
      </c>
      <c r="I787" t="s">
        <v>214</v>
      </c>
      <c r="J787" t="str">
        <f ca="1">VLOOKUP(B787,Customer_Data!$A:$D,4,FALSE)</f>
        <v>Regular</v>
      </c>
    </row>
    <row r="788" spans="1:10" x14ac:dyDescent="0.35">
      <c r="A788" t="s">
        <v>1035</v>
      </c>
      <c r="B788" t="str">
        <f t="shared" ca="1" si="48"/>
        <v>CUST115</v>
      </c>
      <c r="C788" s="1">
        <f t="shared" ca="1" si="49"/>
        <v>45700</v>
      </c>
      <c r="D788" t="s">
        <v>1250</v>
      </c>
      <c r="E788" t="s">
        <v>1255</v>
      </c>
      <c r="F788">
        <f t="shared" ca="1" si="50"/>
        <v>8</v>
      </c>
      <c r="G788">
        <v>60</v>
      </c>
      <c r="H788">
        <f t="shared" ca="1" si="51"/>
        <v>480</v>
      </c>
      <c r="I788" t="s">
        <v>214</v>
      </c>
      <c r="J788" t="str">
        <f ca="1">VLOOKUP(B788,Customer_Data!$A:$D,4,FALSE)</f>
        <v>Silver</v>
      </c>
    </row>
    <row r="789" spans="1:10" x14ac:dyDescent="0.35">
      <c r="A789" t="s">
        <v>1036</v>
      </c>
      <c r="B789" t="str">
        <f t="shared" ca="1" si="48"/>
        <v>CUST056</v>
      </c>
      <c r="C789" s="1">
        <f t="shared" ca="1" si="49"/>
        <v>45804</v>
      </c>
      <c r="D789" t="s">
        <v>1252</v>
      </c>
      <c r="E789" t="s">
        <v>1257</v>
      </c>
      <c r="F789">
        <f t="shared" ca="1" si="50"/>
        <v>8</v>
      </c>
      <c r="G789">
        <v>120</v>
      </c>
      <c r="H789">
        <f t="shared" ca="1" si="51"/>
        <v>960</v>
      </c>
      <c r="I789" t="s">
        <v>211</v>
      </c>
      <c r="J789" t="str">
        <f ca="1">VLOOKUP(B789,Customer_Data!$A:$D,4,FALSE)</f>
        <v>Silver</v>
      </c>
    </row>
    <row r="790" spans="1:10" x14ac:dyDescent="0.35">
      <c r="A790" t="s">
        <v>1037</v>
      </c>
      <c r="B790" t="str">
        <f t="shared" ca="1" si="48"/>
        <v>CUST193</v>
      </c>
      <c r="C790" s="1">
        <f t="shared" ca="1" si="49"/>
        <v>45999</v>
      </c>
      <c r="D790" t="s">
        <v>1252</v>
      </c>
      <c r="E790" t="s">
        <v>1257</v>
      </c>
      <c r="F790">
        <f t="shared" ca="1" si="50"/>
        <v>7</v>
      </c>
      <c r="G790">
        <v>120</v>
      </c>
      <c r="H790">
        <f t="shared" ca="1" si="51"/>
        <v>840</v>
      </c>
      <c r="I790" t="s">
        <v>213</v>
      </c>
      <c r="J790" t="str">
        <f ca="1">VLOOKUP(B790,Customer_Data!$A:$D,4,FALSE)</f>
        <v>Silver</v>
      </c>
    </row>
    <row r="791" spans="1:10" x14ac:dyDescent="0.35">
      <c r="A791" t="s">
        <v>1038</v>
      </c>
      <c r="B791" t="str">
        <f t="shared" ca="1" si="48"/>
        <v>CUST026</v>
      </c>
      <c r="C791" s="1">
        <f t="shared" ca="1" si="49"/>
        <v>45940</v>
      </c>
      <c r="D791" t="s">
        <v>1253</v>
      </c>
      <c r="E791" t="s">
        <v>1258</v>
      </c>
      <c r="F791">
        <f t="shared" ca="1" si="50"/>
        <v>10</v>
      </c>
      <c r="G791">
        <v>90</v>
      </c>
      <c r="H791">
        <f t="shared" ca="1" si="51"/>
        <v>900</v>
      </c>
      <c r="I791" t="s">
        <v>213</v>
      </c>
      <c r="J791" t="str">
        <f ca="1">VLOOKUP(B791,Customer_Data!$A:$D,4,FALSE)</f>
        <v>Regular</v>
      </c>
    </row>
    <row r="792" spans="1:10" x14ac:dyDescent="0.35">
      <c r="A792" t="s">
        <v>1039</v>
      </c>
      <c r="B792" t="str">
        <f t="shared" ca="1" si="48"/>
        <v>CUST143</v>
      </c>
      <c r="C792" s="1">
        <f t="shared" ca="1" si="49"/>
        <v>45875</v>
      </c>
      <c r="D792" t="s">
        <v>1253</v>
      </c>
      <c r="E792" t="s">
        <v>1258</v>
      </c>
      <c r="F792">
        <f t="shared" ca="1" si="50"/>
        <v>4</v>
      </c>
      <c r="G792">
        <v>90</v>
      </c>
      <c r="H792">
        <f t="shared" ca="1" si="51"/>
        <v>360</v>
      </c>
      <c r="I792" t="s">
        <v>211</v>
      </c>
      <c r="J792" t="str">
        <f ca="1">VLOOKUP(B792,Customer_Data!$A:$D,4,FALSE)</f>
        <v>Regular</v>
      </c>
    </row>
    <row r="793" spans="1:10" x14ac:dyDescent="0.35">
      <c r="A793" t="s">
        <v>1040</v>
      </c>
      <c r="B793" t="str">
        <f t="shared" ca="1" si="48"/>
        <v>CUST093</v>
      </c>
      <c r="C793" s="1">
        <f t="shared" ca="1" si="49"/>
        <v>45869</v>
      </c>
      <c r="D793" t="s">
        <v>1253</v>
      </c>
      <c r="E793" t="s">
        <v>1258</v>
      </c>
      <c r="F793">
        <f t="shared" ca="1" si="50"/>
        <v>8</v>
      </c>
      <c r="G793">
        <v>90</v>
      </c>
      <c r="H793">
        <f t="shared" ca="1" si="51"/>
        <v>720</v>
      </c>
      <c r="I793" t="s">
        <v>214</v>
      </c>
      <c r="J793" t="str">
        <f ca="1">VLOOKUP(B793,Customer_Data!$A:$D,4,FALSE)</f>
        <v>Silver</v>
      </c>
    </row>
    <row r="794" spans="1:10" x14ac:dyDescent="0.35">
      <c r="A794" t="s">
        <v>1041</v>
      </c>
      <c r="B794" t="str">
        <f t="shared" ca="1" si="48"/>
        <v>CUST175</v>
      </c>
      <c r="C794" s="1">
        <f t="shared" ca="1" si="49"/>
        <v>45757</v>
      </c>
      <c r="D794" t="s">
        <v>1249</v>
      </c>
      <c r="E794" t="s">
        <v>1254</v>
      </c>
      <c r="F794">
        <f t="shared" ca="1" si="50"/>
        <v>10</v>
      </c>
      <c r="G794">
        <v>25</v>
      </c>
      <c r="H794">
        <f t="shared" ca="1" si="51"/>
        <v>250</v>
      </c>
      <c r="I794" t="s">
        <v>212</v>
      </c>
      <c r="J794" t="str">
        <f ca="1">VLOOKUP(B794,Customer_Data!$A:$D,4,FALSE)</f>
        <v>Silver</v>
      </c>
    </row>
    <row r="795" spans="1:10" x14ac:dyDescent="0.35">
      <c r="A795" t="s">
        <v>1042</v>
      </c>
      <c r="B795" t="str">
        <f t="shared" ca="1" si="48"/>
        <v>CUST002</v>
      </c>
      <c r="C795" s="1">
        <f t="shared" ca="1" si="49"/>
        <v>45878</v>
      </c>
      <c r="D795" t="s">
        <v>1252</v>
      </c>
      <c r="E795" t="s">
        <v>1257</v>
      </c>
      <c r="F795">
        <f t="shared" ca="1" si="50"/>
        <v>6</v>
      </c>
      <c r="G795">
        <v>120</v>
      </c>
      <c r="H795">
        <f t="shared" ca="1" si="51"/>
        <v>720</v>
      </c>
      <c r="I795" t="s">
        <v>212</v>
      </c>
      <c r="J795" t="str">
        <f ca="1">VLOOKUP(B795,Customer_Data!$A:$D,4,FALSE)</f>
        <v>Regular</v>
      </c>
    </row>
    <row r="796" spans="1:10" x14ac:dyDescent="0.35">
      <c r="A796" t="s">
        <v>1043</v>
      </c>
      <c r="B796" t="str">
        <f t="shared" ca="1" si="48"/>
        <v>CUST113</v>
      </c>
      <c r="C796" s="1">
        <f t="shared" ca="1" si="49"/>
        <v>45836</v>
      </c>
      <c r="D796" t="s">
        <v>1251</v>
      </c>
      <c r="E796" t="s">
        <v>1256</v>
      </c>
      <c r="F796">
        <f t="shared" ca="1" si="50"/>
        <v>6</v>
      </c>
      <c r="G796">
        <v>80</v>
      </c>
      <c r="H796">
        <f t="shared" ca="1" si="51"/>
        <v>480</v>
      </c>
      <c r="I796" t="s">
        <v>212</v>
      </c>
      <c r="J796" t="str">
        <f ca="1">VLOOKUP(B796,Customer_Data!$A:$D,4,FALSE)</f>
        <v>Silver</v>
      </c>
    </row>
    <row r="797" spans="1:10" x14ac:dyDescent="0.35">
      <c r="A797" t="s">
        <v>1044</v>
      </c>
      <c r="B797" t="str">
        <f t="shared" ca="1" si="48"/>
        <v>CUST104</v>
      </c>
      <c r="C797" s="1">
        <f t="shared" ca="1" si="49"/>
        <v>45728</v>
      </c>
      <c r="D797" t="s">
        <v>1253</v>
      </c>
      <c r="E797" t="s">
        <v>1258</v>
      </c>
      <c r="F797">
        <f t="shared" ca="1" si="50"/>
        <v>9</v>
      </c>
      <c r="G797">
        <v>90</v>
      </c>
      <c r="H797">
        <f t="shared" ca="1" si="51"/>
        <v>810</v>
      </c>
      <c r="I797" t="s">
        <v>211</v>
      </c>
      <c r="J797" t="str">
        <f ca="1">VLOOKUP(B797,Customer_Data!$A:$D,4,FALSE)</f>
        <v>Regular</v>
      </c>
    </row>
    <row r="798" spans="1:10" x14ac:dyDescent="0.35">
      <c r="A798" t="s">
        <v>1045</v>
      </c>
      <c r="B798" t="str">
        <f t="shared" ca="1" si="48"/>
        <v>CUST151</v>
      </c>
      <c r="C798" s="1">
        <f t="shared" ca="1" si="49"/>
        <v>45779</v>
      </c>
      <c r="D798" t="s">
        <v>1251</v>
      </c>
      <c r="E798" t="s">
        <v>1256</v>
      </c>
      <c r="F798">
        <f t="shared" ca="1" si="50"/>
        <v>1</v>
      </c>
      <c r="G798">
        <v>80</v>
      </c>
      <c r="H798">
        <f t="shared" ca="1" si="51"/>
        <v>80</v>
      </c>
      <c r="I798" t="s">
        <v>213</v>
      </c>
      <c r="J798" t="str">
        <f ca="1">VLOOKUP(B798,Customer_Data!$A:$D,4,FALSE)</f>
        <v>Regular</v>
      </c>
    </row>
    <row r="799" spans="1:10" x14ac:dyDescent="0.35">
      <c r="A799" t="s">
        <v>1046</v>
      </c>
      <c r="B799" t="str">
        <f t="shared" ca="1" si="48"/>
        <v>CUST092</v>
      </c>
      <c r="C799" s="1">
        <f t="shared" ca="1" si="49"/>
        <v>45879</v>
      </c>
      <c r="D799" t="s">
        <v>1249</v>
      </c>
      <c r="E799" t="s">
        <v>1254</v>
      </c>
      <c r="F799">
        <f t="shared" ca="1" si="50"/>
        <v>10</v>
      </c>
      <c r="G799">
        <v>25</v>
      </c>
      <c r="H799">
        <f t="shared" ca="1" si="51"/>
        <v>250</v>
      </c>
      <c r="I799" t="s">
        <v>213</v>
      </c>
      <c r="J799" t="str">
        <f ca="1">VLOOKUP(B799,Customer_Data!$A:$D,4,FALSE)</f>
        <v>Regular</v>
      </c>
    </row>
    <row r="800" spans="1:10" x14ac:dyDescent="0.35">
      <c r="A800" t="s">
        <v>1047</v>
      </c>
      <c r="B800" t="str">
        <f t="shared" ca="1" si="48"/>
        <v>CUST015</v>
      </c>
      <c r="C800" s="1">
        <f t="shared" ca="1" si="49"/>
        <v>45817</v>
      </c>
      <c r="D800" t="s">
        <v>1251</v>
      </c>
      <c r="E800" t="s">
        <v>1256</v>
      </c>
      <c r="F800">
        <f t="shared" ca="1" si="50"/>
        <v>3</v>
      </c>
      <c r="G800">
        <v>80</v>
      </c>
      <c r="H800">
        <f t="shared" ca="1" si="51"/>
        <v>240</v>
      </c>
      <c r="I800" t="s">
        <v>212</v>
      </c>
      <c r="J800" t="str">
        <f ca="1">VLOOKUP(B800,Customer_Data!$A:$D,4,FALSE)</f>
        <v>Silver</v>
      </c>
    </row>
    <row r="801" spans="1:10" x14ac:dyDescent="0.35">
      <c r="A801" t="s">
        <v>1048</v>
      </c>
      <c r="B801" t="str">
        <f t="shared" ca="1" si="48"/>
        <v>CUST001</v>
      </c>
      <c r="C801" s="1">
        <f t="shared" ca="1" si="49"/>
        <v>45912</v>
      </c>
      <c r="D801" t="s">
        <v>1249</v>
      </c>
      <c r="E801" t="s">
        <v>1254</v>
      </c>
      <c r="F801">
        <f t="shared" ca="1" si="50"/>
        <v>10</v>
      </c>
      <c r="G801">
        <v>25</v>
      </c>
      <c r="H801">
        <f t="shared" ca="1" si="51"/>
        <v>250</v>
      </c>
      <c r="I801" t="s">
        <v>212</v>
      </c>
      <c r="J801" t="str">
        <f ca="1">VLOOKUP(B801,Customer_Data!$A:$D,4,FALSE)</f>
        <v>Regular</v>
      </c>
    </row>
    <row r="802" spans="1:10" x14ac:dyDescent="0.35">
      <c r="A802" t="s">
        <v>1049</v>
      </c>
      <c r="B802" t="str">
        <f t="shared" ca="1" si="48"/>
        <v>CUST066</v>
      </c>
      <c r="C802" s="1">
        <f t="shared" ca="1" si="49"/>
        <v>45738</v>
      </c>
      <c r="D802" t="s">
        <v>1252</v>
      </c>
      <c r="E802" t="s">
        <v>1257</v>
      </c>
      <c r="F802">
        <f t="shared" ca="1" si="50"/>
        <v>5</v>
      </c>
      <c r="G802">
        <v>120</v>
      </c>
      <c r="H802">
        <f t="shared" ca="1" si="51"/>
        <v>600</v>
      </c>
      <c r="I802" t="s">
        <v>211</v>
      </c>
      <c r="J802" t="str">
        <f ca="1">VLOOKUP(B802,Customer_Data!$A:$D,4,FALSE)</f>
        <v>Regular</v>
      </c>
    </row>
    <row r="803" spans="1:10" x14ac:dyDescent="0.35">
      <c r="A803" t="s">
        <v>1050</v>
      </c>
      <c r="B803" t="str">
        <f t="shared" ca="1" si="48"/>
        <v>CUST067</v>
      </c>
      <c r="C803" s="1">
        <f t="shared" ca="1" si="49"/>
        <v>45679</v>
      </c>
      <c r="D803" t="s">
        <v>1252</v>
      </c>
      <c r="E803" t="s">
        <v>1257</v>
      </c>
      <c r="F803">
        <f t="shared" ca="1" si="50"/>
        <v>2</v>
      </c>
      <c r="G803">
        <v>120</v>
      </c>
      <c r="H803">
        <f t="shared" ca="1" si="51"/>
        <v>240</v>
      </c>
      <c r="I803" t="s">
        <v>212</v>
      </c>
      <c r="J803" t="str">
        <f ca="1">VLOOKUP(B803,Customer_Data!$A:$D,4,FALSE)</f>
        <v>Regular</v>
      </c>
    </row>
    <row r="804" spans="1:10" x14ac:dyDescent="0.35">
      <c r="A804" t="s">
        <v>1051</v>
      </c>
      <c r="B804" t="str">
        <f t="shared" ca="1" si="48"/>
        <v>CUST144</v>
      </c>
      <c r="C804" s="1">
        <f t="shared" ca="1" si="49"/>
        <v>45754</v>
      </c>
      <c r="D804" t="s">
        <v>1253</v>
      </c>
      <c r="E804" t="s">
        <v>1258</v>
      </c>
      <c r="F804">
        <f t="shared" ca="1" si="50"/>
        <v>3</v>
      </c>
      <c r="G804">
        <v>90</v>
      </c>
      <c r="H804">
        <f t="shared" ca="1" si="51"/>
        <v>270</v>
      </c>
      <c r="I804" t="s">
        <v>213</v>
      </c>
      <c r="J804" t="str">
        <f ca="1">VLOOKUP(B804,Customer_Data!$A:$D,4,FALSE)</f>
        <v>Regular</v>
      </c>
    </row>
    <row r="805" spans="1:10" x14ac:dyDescent="0.35">
      <c r="A805" t="s">
        <v>1052</v>
      </c>
      <c r="B805" t="str">
        <f t="shared" ca="1" si="48"/>
        <v>CUST062</v>
      </c>
      <c r="C805" s="1">
        <f t="shared" ca="1" si="49"/>
        <v>45871</v>
      </c>
      <c r="D805" t="s">
        <v>1252</v>
      </c>
      <c r="E805" t="s">
        <v>1257</v>
      </c>
      <c r="F805">
        <f t="shared" ca="1" si="50"/>
        <v>5</v>
      </c>
      <c r="G805">
        <v>120</v>
      </c>
      <c r="H805">
        <f t="shared" ca="1" si="51"/>
        <v>600</v>
      </c>
      <c r="I805" t="s">
        <v>214</v>
      </c>
      <c r="J805" t="str">
        <f ca="1">VLOOKUP(B805,Customer_Data!$A:$D,4,FALSE)</f>
        <v>Regular</v>
      </c>
    </row>
    <row r="806" spans="1:10" x14ac:dyDescent="0.35">
      <c r="A806" t="s">
        <v>1053</v>
      </c>
      <c r="B806" t="str">
        <f t="shared" ca="1" si="48"/>
        <v>CUST141</v>
      </c>
      <c r="C806" s="1">
        <f t="shared" ca="1" si="49"/>
        <v>45882</v>
      </c>
      <c r="D806" t="s">
        <v>1251</v>
      </c>
      <c r="E806" t="s">
        <v>1256</v>
      </c>
      <c r="F806">
        <f t="shared" ca="1" si="50"/>
        <v>1</v>
      </c>
      <c r="G806">
        <v>80</v>
      </c>
      <c r="H806">
        <f t="shared" ca="1" si="51"/>
        <v>80</v>
      </c>
      <c r="I806" t="s">
        <v>211</v>
      </c>
      <c r="J806" t="str">
        <f ca="1">VLOOKUP(B806,Customer_Data!$A:$D,4,FALSE)</f>
        <v>Regular</v>
      </c>
    </row>
    <row r="807" spans="1:10" x14ac:dyDescent="0.35">
      <c r="A807" t="s">
        <v>1054</v>
      </c>
      <c r="B807" t="str">
        <f t="shared" ca="1" si="48"/>
        <v>CUST014</v>
      </c>
      <c r="C807" s="1">
        <f t="shared" ca="1" si="49"/>
        <v>45900</v>
      </c>
      <c r="D807" t="s">
        <v>1249</v>
      </c>
      <c r="E807" t="s">
        <v>1254</v>
      </c>
      <c r="F807">
        <f t="shared" ca="1" si="50"/>
        <v>8</v>
      </c>
      <c r="G807">
        <v>25</v>
      </c>
      <c r="H807">
        <f t="shared" ca="1" si="51"/>
        <v>200</v>
      </c>
      <c r="I807" t="s">
        <v>212</v>
      </c>
      <c r="J807" t="str">
        <f ca="1">VLOOKUP(B807,Customer_Data!$A:$D,4,FALSE)</f>
        <v>Silver</v>
      </c>
    </row>
    <row r="808" spans="1:10" x14ac:dyDescent="0.35">
      <c r="A808" t="s">
        <v>1055</v>
      </c>
      <c r="B808" t="str">
        <f t="shared" ca="1" si="48"/>
        <v>CUST144</v>
      </c>
      <c r="C808" s="1">
        <f t="shared" ca="1" si="49"/>
        <v>45784</v>
      </c>
      <c r="D808" t="s">
        <v>1253</v>
      </c>
      <c r="E808" t="s">
        <v>1258</v>
      </c>
      <c r="F808">
        <f t="shared" ca="1" si="50"/>
        <v>10</v>
      </c>
      <c r="G808">
        <v>90</v>
      </c>
      <c r="H808">
        <f t="shared" ca="1" si="51"/>
        <v>900</v>
      </c>
      <c r="I808" t="s">
        <v>213</v>
      </c>
      <c r="J808" t="str">
        <f ca="1">VLOOKUP(B808,Customer_Data!$A:$D,4,FALSE)</f>
        <v>Regular</v>
      </c>
    </row>
    <row r="809" spans="1:10" x14ac:dyDescent="0.35">
      <c r="A809" t="s">
        <v>1056</v>
      </c>
      <c r="B809" t="str">
        <f t="shared" ca="1" si="48"/>
        <v>CUST070</v>
      </c>
      <c r="C809" s="1">
        <f t="shared" ca="1" si="49"/>
        <v>45738</v>
      </c>
      <c r="D809" t="s">
        <v>1250</v>
      </c>
      <c r="E809" t="s">
        <v>1255</v>
      </c>
      <c r="F809">
        <f t="shared" ca="1" si="50"/>
        <v>3</v>
      </c>
      <c r="G809">
        <v>60</v>
      </c>
      <c r="H809">
        <f t="shared" ca="1" si="51"/>
        <v>180</v>
      </c>
      <c r="I809" t="s">
        <v>214</v>
      </c>
      <c r="J809" t="str">
        <f ca="1">VLOOKUP(B809,Customer_Data!$A:$D,4,FALSE)</f>
        <v>Regular</v>
      </c>
    </row>
    <row r="810" spans="1:10" x14ac:dyDescent="0.35">
      <c r="A810" t="s">
        <v>1057</v>
      </c>
      <c r="B810" t="str">
        <f t="shared" ca="1" si="48"/>
        <v>CUST113</v>
      </c>
      <c r="C810" s="1">
        <f t="shared" ca="1" si="49"/>
        <v>45976</v>
      </c>
      <c r="D810" t="s">
        <v>1253</v>
      </c>
      <c r="E810" t="s">
        <v>1258</v>
      </c>
      <c r="F810">
        <f t="shared" ca="1" si="50"/>
        <v>8</v>
      </c>
      <c r="G810">
        <v>90</v>
      </c>
      <c r="H810">
        <f t="shared" ca="1" si="51"/>
        <v>720</v>
      </c>
      <c r="I810" t="s">
        <v>211</v>
      </c>
      <c r="J810" t="str">
        <f ca="1">VLOOKUP(B810,Customer_Data!$A:$D,4,FALSE)</f>
        <v>Silver</v>
      </c>
    </row>
    <row r="811" spans="1:10" x14ac:dyDescent="0.35">
      <c r="A811" t="s">
        <v>1058</v>
      </c>
      <c r="B811" t="str">
        <f t="shared" ca="1" si="48"/>
        <v>CUST118</v>
      </c>
      <c r="C811" s="1">
        <f t="shared" ca="1" si="49"/>
        <v>45954</v>
      </c>
      <c r="D811" t="s">
        <v>1252</v>
      </c>
      <c r="E811" t="s">
        <v>1257</v>
      </c>
      <c r="F811">
        <f t="shared" ca="1" si="50"/>
        <v>1</v>
      </c>
      <c r="G811">
        <v>120</v>
      </c>
      <c r="H811">
        <f t="shared" ca="1" si="51"/>
        <v>120</v>
      </c>
      <c r="I811" t="s">
        <v>213</v>
      </c>
      <c r="J811" t="str">
        <f ca="1">VLOOKUP(B811,Customer_Data!$A:$D,4,FALSE)</f>
        <v>Gold</v>
      </c>
    </row>
    <row r="812" spans="1:10" x14ac:dyDescent="0.35">
      <c r="A812" t="s">
        <v>1059</v>
      </c>
      <c r="B812" t="str">
        <f t="shared" ca="1" si="48"/>
        <v>CUST038</v>
      </c>
      <c r="C812" s="1">
        <f t="shared" ca="1" si="49"/>
        <v>45870</v>
      </c>
      <c r="D812" t="s">
        <v>1250</v>
      </c>
      <c r="E812" t="s">
        <v>1255</v>
      </c>
      <c r="F812">
        <f t="shared" ca="1" si="50"/>
        <v>5</v>
      </c>
      <c r="G812">
        <v>60</v>
      </c>
      <c r="H812">
        <f t="shared" ca="1" si="51"/>
        <v>300</v>
      </c>
      <c r="I812" t="s">
        <v>214</v>
      </c>
      <c r="J812" t="str">
        <f ca="1">VLOOKUP(B812,Customer_Data!$A:$D,4,FALSE)</f>
        <v>Gold</v>
      </c>
    </row>
    <row r="813" spans="1:10" x14ac:dyDescent="0.35">
      <c r="A813" t="s">
        <v>1060</v>
      </c>
      <c r="B813" t="str">
        <f t="shared" ca="1" si="48"/>
        <v>CUST130</v>
      </c>
      <c r="C813" s="1">
        <f t="shared" ca="1" si="49"/>
        <v>45993</v>
      </c>
      <c r="D813" t="s">
        <v>1250</v>
      </c>
      <c r="E813" t="s">
        <v>1255</v>
      </c>
      <c r="F813">
        <f t="shared" ca="1" si="50"/>
        <v>10</v>
      </c>
      <c r="G813">
        <v>60</v>
      </c>
      <c r="H813">
        <f t="shared" ca="1" si="51"/>
        <v>600</v>
      </c>
      <c r="I813" t="s">
        <v>214</v>
      </c>
      <c r="J813" t="str">
        <f ca="1">VLOOKUP(B813,Customer_Data!$A:$D,4,FALSE)</f>
        <v>Regular</v>
      </c>
    </row>
    <row r="814" spans="1:10" x14ac:dyDescent="0.35">
      <c r="A814" t="s">
        <v>1061</v>
      </c>
      <c r="B814" t="str">
        <f t="shared" ca="1" si="48"/>
        <v>CUST172</v>
      </c>
      <c r="C814" s="1">
        <f t="shared" ca="1" si="49"/>
        <v>46008</v>
      </c>
      <c r="D814" t="s">
        <v>1253</v>
      </c>
      <c r="E814" t="s">
        <v>1258</v>
      </c>
      <c r="F814">
        <f t="shared" ca="1" si="50"/>
        <v>1</v>
      </c>
      <c r="G814">
        <v>90</v>
      </c>
      <c r="H814">
        <f t="shared" ca="1" si="51"/>
        <v>90</v>
      </c>
      <c r="I814" t="s">
        <v>212</v>
      </c>
      <c r="J814" t="str">
        <f ca="1">VLOOKUP(B814,Customer_Data!$A:$D,4,FALSE)</f>
        <v>Regular</v>
      </c>
    </row>
    <row r="815" spans="1:10" x14ac:dyDescent="0.35">
      <c r="A815" t="s">
        <v>1062</v>
      </c>
      <c r="B815" t="str">
        <f t="shared" ca="1" si="48"/>
        <v>CUST116</v>
      </c>
      <c r="C815" s="1">
        <f t="shared" ca="1" si="49"/>
        <v>45811</v>
      </c>
      <c r="D815" t="s">
        <v>1252</v>
      </c>
      <c r="E815" t="s">
        <v>1257</v>
      </c>
      <c r="F815">
        <f t="shared" ca="1" si="50"/>
        <v>9</v>
      </c>
      <c r="G815">
        <v>120</v>
      </c>
      <c r="H815">
        <f t="shared" ca="1" si="51"/>
        <v>1080</v>
      </c>
      <c r="I815" t="s">
        <v>213</v>
      </c>
      <c r="J815" t="str">
        <f ca="1">VLOOKUP(B815,Customer_Data!$A:$D,4,FALSE)</f>
        <v>Silver</v>
      </c>
    </row>
    <row r="816" spans="1:10" x14ac:dyDescent="0.35">
      <c r="A816" t="s">
        <v>1063</v>
      </c>
      <c r="B816" t="str">
        <f t="shared" ca="1" si="48"/>
        <v>CUST067</v>
      </c>
      <c r="C816" s="1">
        <f t="shared" ca="1" si="49"/>
        <v>45772</v>
      </c>
      <c r="D816" t="s">
        <v>1250</v>
      </c>
      <c r="E816" t="s">
        <v>1255</v>
      </c>
      <c r="F816">
        <f t="shared" ca="1" si="50"/>
        <v>3</v>
      </c>
      <c r="G816">
        <v>60</v>
      </c>
      <c r="H816">
        <f t="shared" ca="1" si="51"/>
        <v>180</v>
      </c>
      <c r="I816" t="s">
        <v>212</v>
      </c>
      <c r="J816" t="str">
        <f ca="1">VLOOKUP(B816,Customer_Data!$A:$D,4,FALSE)</f>
        <v>Regular</v>
      </c>
    </row>
    <row r="817" spans="1:10" x14ac:dyDescent="0.35">
      <c r="A817" t="s">
        <v>1064</v>
      </c>
      <c r="B817" t="str">
        <f t="shared" ca="1" si="48"/>
        <v>CUST022</v>
      </c>
      <c r="C817" s="1">
        <f t="shared" ca="1" si="49"/>
        <v>45884</v>
      </c>
      <c r="D817" t="s">
        <v>1249</v>
      </c>
      <c r="E817" t="s">
        <v>1254</v>
      </c>
      <c r="F817">
        <f t="shared" ca="1" si="50"/>
        <v>8</v>
      </c>
      <c r="G817">
        <v>25</v>
      </c>
      <c r="H817">
        <f t="shared" ca="1" si="51"/>
        <v>200</v>
      </c>
      <c r="I817" t="s">
        <v>211</v>
      </c>
      <c r="J817" t="str">
        <f ca="1">VLOOKUP(B817,Customer_Data!$A:$D,4,FALSE)</f>
        <v>Regular</v>
      </c>
    </row>
    <row r="818" spans="1:10" x14ac:dyDescent="0.35">
      <c r="A818" t="s">
        <v>1065</v>
      </c>
      <c r="B818" t="str">
        <f t="shared" ca="1" si="48"/>
        <v>CUST134</v>
      </c>
      <c r="C818" s="1">
        <f t="shared" ca="1" si="49"/>
        <v>45659</v>
      </c>
      <c r="D818" t="s">
        <v>1251</v>
      </c>
      <c r="E818" t="s">
        <v>1256</v>
      </c>
      <c r="F818">
        <f t="shared" ca="1" si="50"/>
        <v>2</v>
      </c>
      <c r="G818">
        <v>80</v>
      </c>
      <c r="H818">
        <f t="shared" ca="1" si="51"/>
        <v>160</v>
      </c>
      <c r="I818" t="s">
        <v>212</v>
      </c>
      <c r="J818" t="str">
        <f ca="1">VLOOKUP(B818,Customer_Data!$A:$D,4,FALSE)</f>
        <v>Silver</v>
      </c>
    </row>
    <row r="819" spans="1:10" x14ac:dyDescent="0.35">
      <c r="A819" t="s">
        <v>1066</v>
      </c>
      <c r="B819" t="str">
        <f t="shared" ca="1" si="48"/>
        <v>CUST170</v>
      </c>
      <c r="C819" s="1">
        <f t="shared" ca="1" si="49"/>
        <v>45979</v>
      </c>
      <c r="D819" t="s">
        <v>1252</v>
      </c>
      <c r="E819" t="s">
        <v>1257</v>
      </c>
      <c r="F819">
        <f t="shared" ca="1" si="50"/>
        <v>8</v>
      </c>
      <c r="G819">
        <v>120</v>
      </c>
      <c r="H819">
        <f t="shared" ca="1" si="51"/>
        <v>960</v>
      </c>
      <c r="I819" t="s">
        <v>211</v>
      </c>
      <c r="J819" t="str">
        <f ca="1">VLOOKUP(B819,Customer_Data!$A:$D,4,FALSE)</f>
        <v>Regular</v>
      </c>
    </row>
    <row r="820" spans="1:10" x14ac:dyDescent="0.35">
      <c r="A820" t="s">
        <v>1067</v>
      </c>
      <c r="B820" t="str">
        <f t="shared" ca="1" si="48"/>
        <v>CUST020</v>
      </c>
      <c r="C820" s="1">
        <f t="shared" ca="1" si="49"/>
        <v>45794</v>
      </c>
      <c r="D820" t="s">
        <v>1253</v>
      </c>
      <c r="E820" t="s">
        <v>1258</v>
      </c>
      <c r="F820">
        <f t="shared" ca="1" si="50"/>
        <v>5</v>
      </c>
      <c r="G820">
        <v>90</v>
      </c>
      <c r="H820">
        <f t="shared" ca="1" si="51"/>
        <v>450</v>
      </c>
      <c r="I820" t="s">
        <v>214</v>
      </c>
      <c r="J820" t="str">
        <f ca="1">VLOOKUP(B820,Customer_Data!$A:$D,4,FALSE)</f>
        <v>Gold</v>
      </c>
    </row>
    <row r="821" spans="1:10" x14ac:dyDescent="0.35">
      <c r="A821" t="s">
        <v>1068</v>
      </c>
      <c r="B821" t="str">
        <f t="shared" ca="1" si="48"/>
        <v>CUST170</v>
      </c>
      <c r="C821" s="1">
        <f t="shared" ca="1" si="49"/>
        <v>45784</v>
      </c>
      <c r="D821" t="s">
        <v>1253</v>
      </c>
      <c r="E821" t="s">
        <v>1258</v>
      </c>
      <c r="F821">
        <f t="shared" ca="1" si="50"/>
        <v>1</v>
      </c>
      <c r="G821">
        <v>90</v>
      </c>
      <c r="H821">
        <f t="shared" ca="1" si="51"/>
        <v>90</v>
      </c>
      <c r="I821" t="s">
        <v>214</v>
      </c>
      <c r="J821" t="str">
        <f ca="1">VLOOKUP(B821,Customer_Data!$A:$D,4,FALSE)</f>
        <v>Regular</v>
      </c>
    </row>
    <row r="822" spans="1:10" x14ac:dyDescent="0.35">
      <c r="A822" t="s">
        <v>1069</v>
      </c>
      <c r="B822" t="str">
        <f t="shared" ca="1" si="48"/>
        <v>CUST196</v>
      </c>
      <c r="C822" s="1">
        <f t="shared" ca="1" si="49"/>
        <v>45792</v>
      </c>
      <c r="D822" t="s">
        <v>1250</v>
      </c>
      <c r="E822" t="s">
        <v>1255</v>
      </c>
      <c r="F822">
        <f t="shared" ca="1" si="50"/>
        <v>3</v>
      </c>
      <c r="G822">
        <v>60</v>
      </c>
      <c r="H822">
        <f t="shared" ca="1" si="51"/>
        <v>180</v>
      </c>
      <c r="I822" t="s">
        <v>211</v>
      </c>
      <c r="J822" t="str">
        <f ca="1">VLOOKUP(B822,Customer_Data!$A:$D,4,FALSE)</f>
        <v>Silver</v>
      </c>
    </row>
    <row r="823" spans="1:10" x14ac:dyDescent="0.35">
      <c r="A823" t="s">
        <v>1070</v>
      </c>
      <c r="B823" t="str">
        <f t="shared" ca="1" si="48"/>
        <v>CUST052</v>
      </c>
      <c r="C823" s="1">
        <f t="shared" ca="1" si="49"/>
        <v>45861</v>
      </c>
      <c r="D823" t="s">
        <v>1250</v>
      </c>
      <c r="E823" t="s">
        <v>1255</v>
      </c>
      <c r="F823">
        <f t="shared" ca="1" si="50"/>
        <v>10</v>
      </c>
      <c r="G823">
        <v>60</v>
      </c>
      <c r="H823">
        <f t="shared" ca="1" si="51"/>
        <v>600</v>
      </c>
      <c r="I823" t="s">
        <v>211</v>
      </c>
      <c r="J823" t="str">
        <f ca="1">VLOOKUP(B823,Customer_Data!$A:$D,4,FALSE)</f>
        <v>Regular</v>
      </c>
    </row>
    <row r="824" spans="1:10" x14ac:dyDescent="0.35">
      <c r="A824" t="s">
        <v>1071</v>
      </c>
      <c r="B824" t="str">
        <f t="shared" ca="1" si="48"/>
        <v>CUST076</v>
      </c>
      <c r="C824" s="1">
        <f t="shared" ca="1" si="49"/>
        <v>45840</v>
      </c>
      <c r="D824" t="s">
        <v>1253</v>
      </c>
      <c r="E824" t="s">
        <v>1258</v>
      </c>
      <c r="F824">
        <f t="shared" ca="1" si="50"/>
        <v>9</v>
      </c>
      <c r="G824">
        <v>90</v>
      </c>
      <c r="H824">
        <f t="shared" ca="1" si="51"/>
        <v>810</v>
      </c>
      <c r="I824" t="s">
        <v>213</v>
      </c>
      <c r="J824" t="str">
        <f ca="1">VLOOKUP(B824,Customer_Data!$A:$D,4,FALSE)</f>
        <v>Silver</v>
      </c>
    </row>
    <row r="825" spans="1:10" x14ac:dyDescent="0.35">
      <c r="A825" t="s">
        <v>1072</v>
      </c>
      <c r="B825" t="str">
        <f t="shared" ca="1" si="48"/>
        <v>CUST093</v>
      </c>
      <c r="C825" s="1">
        <f t="shared" ca="1" si="49"/>
        <v>45773</v>
      </c>
      <c r="D825" t="s">
        <v>1251</v>
      </c>
      <c r="E825" t="s">
        <v>1256</v>
      </c>
      <c r="F825">
        <f t="shared" ca="1" si="50"/>
        <v>3</v>
      </c>
      <c r="G825">
        <v>80</v>
      </c>
      <c r="H825">
        <f t="shared" ca="1" si="51"/>
        <v>240</v>
      </c>
      <c r="I825" t="s">
        <v>214</v>
      </c>
      <c r="J825" t="str">
        <f ca="1">VLOOKUP(B825,Customer_Data!$A:$D,4,FALSE)</f>
        <v>Silver</v>
      </c>
    </row>
    <row r="826" spans="1:10" x14ac:dyDescent="0.35">
      <c r="A826" t="s">
        <v>1073</v>
      </c>
      <c r="B826" t="str">
        <f t="shared" ca="1" si="48"/>
        <v>CUST133</v>
      </c>
      <c r="C826" s="1">
        <f t="shared" ca="1" si="49"/>
        <v>45839</v>
      </c>
      <c r="D826" t="s">
        <v>1251</v>
      </c>
      <c r="E826" t="s">
        <v>1256</v>
      </c>
      <c r="F826">
        <f t="shared" ca="1" si="50"/>
        <v>3</v>
      </c>
      <c r="G826">
        <v>80</v>
      </c>
      <c r="H826">
        <f t="shared" ca="1" si="51"/>
        <v>240</v>
      </c>
      <c r="I826" t="s">
        <v>211</v>
      </c>
      <c r="J826" t="str">
        <f ca="1">VLOOKUP(B826,Customer_Data!$A:$D,4,FALSE)</f>
        <v>Silver</v>
      </c>
    </row>
    <row r="827" spans="1:10" x14ac:dyDescent="0.35">
      <c r="A827" t="s">
        <v>1074</v>
      </c>
      <c r="B827" t="str">
        <f t="shared" ca="1" si="48"/>
        <v>CUST037</v>
      </c>
      <c r="C827" s="1">
        <f t="shared" ca="1" si="49"/>
        <v>45683</v>
      </c>
      <c r="D827" t="s">
        <v>1252</v>
      </c>
      <c r="E827" t="s">
        <v>1257</v>
      </c>
      <c r="F827">
        <f t="shared" ca="1" si="50"/>
        <v>7</v>
      </c>
      <c r="G827">
        <v>120</v>
      </c>
      <c r="H827">
        <f t="shared" ca="1" si="51"/>
        <v>840</v>
      </c>
      <c r="I827" t="s">
        <v>211</v>
      </c>
      <c r="J827" t="str">
        <f ca="1">VLOOKUP(B827,Customer_Data!$A:$D,4,FALSE)</f>
        <v>Silver</v>
      </c>
    </row>
    <row r="828" spans="1:10" x14ac:dyDescent="0.35">
      <c r="A828" t="s">
        <v>1075</v>
      </c>
      <c r="B828" t="str">
        <f t="shared" ca="1" si="48"/>
        <v>CUST167</v>
      </c>
      <c r="C828" s="1">
        <f t="shared" ca="1" si="49"/>
        <v>45890</v>
      </c>
      <c r="D828" t="s">
        <v>1252</v>
      </c>
      <c r="E828" t="s">
        <v>1257</v>
      </c>
      <c r="F828">
        <f t="shared" ca="1" si="50"/>
        <v>2</v>
      </c>
      <c r="G828">
        <v>120</v>
      </c>
      <c r="H828">
        <f t="shared" ca="1" si="51"/>
        <v>240</v>
      </c>
      <c r="I828" t="s">
        <v>212</v>
      </c>
      <c r="J828" t="str">
        <f ca="1">VLOOKUP(B828,Customer_Data!$A:$D,4,FALSE)</f>
        <v>Regular</v>
      </c>
    </row>
    <row r="829" spans="1:10" x14ac:dyDescent="0.35">
      <c r="A829" t="s">
        <v>1076</v>
      </c>
      <c r="B829" t="str">
        <f t="shared" ca="1" si="48"/>
        <v>CUST096</v>
      </c>
      <c r="C829" s="1">
        <f t="shared" ca="1" si="49"/>
        <v>45896</v>
      </c>
      <c r="D829" t="s">
        <v>1252</v>
      </c>
      <c r="E829" t="s">
        <v>1257</v>
      </c>
      <c r="F829">
        <f t="shared" ca="1" si="50"/>
        <v>7</v>
      </c>
      <c r="G829">
        <v>120</v>
      </c>
      <c r="H829">
        <f t="shared" ca="1" si="51"/>
        <v>840</v>
      </c>
      <c r="I829" t="s">
        <v>214</v>
      </c>
      <c r="J829" t="str">
        <f ca="1">VLOOKUP(B829,Customer_Data!$A:$D,4,FALSE)</f>
        <v>Silver</v>
      </c>
    </row>
    <row r="830" spans="1:10" x14ac:dyDescent="0.35">
      <c r="A830" t="s">
        <v>1077</v>
      </c>
      <c r="B830" t="str">
        <f t="shared" ca="1" si="48"/>
        <v>CUST084</v>
      </c>
      <c r="C830" s="1">
        <f t="shared" ca="1" si="49"/>
        <v>45672</v>
      </c>
      <c r="D830" t="s">
        <v>1249</v>
      </c>
      <c r="E830" t="s">
        <v>1254</v>
      </c>
      <c r="F830">
        <f t="shared" ca="1" si="50"/>
        <v>9</v>
      </c>
      <c r="G830">
        <v>25</v>
      </c>
      <c r="H830">
        <f t="shared" ca="1" si="51"/>
        <v>225</v>
      </c>
      <c r="I830" t="s">
        <v>213</v>
      </c>
      <c r="J830" t="str">
        <f ca="1">VLOOKUP(B830,Customer_Data!$A:$D,4,FALSE)</f>
        <v>Regular</v>
      </c>
    </row>
    <row r="831" spans="1:10" x14ac:dyDescent="0.35">
      <c r="A831" t="s">
        <v>1078</v>
      </c>
      <c r="B831" t="str">
        <f t="shared" ca="1" si="48"/>
        <v>CUST194</v>
      </c>
      <c r="C831" s="1">
        <f t="shared" ca="1" si="49"/>
        <v>45689</v>
      </c>
      <c r="D831" t="s">
        <v>1252</v>
      </c>
      <c r="E831" t="s">
        <v>1257</v>
      </c>
      <c r="F831">
        <f t="shared" ca="1" si="50"/>
        <v>6</v>
      </c>
      <c r="G831">
        <v>120</v>
      </c>
      <c r="H831">
        <f t="shared" ca="1" si="51"/>
        <v>720</v>
      </c>
      <c r="I831" t="s">
        <v>214</v>
      </c>
      <c r="J831" t="str">
        <f ca="1">VLOOKUP(B831,Customer_Data!$A:$D,4,FALSE)</f>
        <v>Silver</v>
      </c>
    </row>
    <row r="832" spans="1:10" x14ac:dyDescent="0.35">
      <c r="A832" t="s">
        <v>1079</v>
      </c>
      <c r="B832" t="str">
        <f t="shared" ca="1" si="48"/>
        <v>CUST120</v>
      </c>
      <c r="C832" s="1">
        <f t="shared" ca="1" si="49"/>
        <v>45814</v>
      </c>
      <c r="D832" t="s">
        <v>1250</v>
      </c>
      <c r="E832" t="s">
        <v>1255</v>
      </c>
      <c r="F832">
        <f t="shared" ca="1" si="50"/>
        <v>9</v>
      </c>
      <c r="G832">
        <v>60</v>
      </c>
      <c r="H832">
        <f t="shared" ca="1" si="51"/>
        <v>540</v>
      </c>
      <c r="I832" t="s">
        <v>214</v>
      </c>
      <c r="J832" t="str">
        <f ca="1">VLOOKUP(B832,Customer_Data!$A:$D,4,FALSE)</f>
        <v>Gold</v>
      </c>
    </row>
    <row r="833" spans="1:10" x14ac:dyDescent="0.35">
      <c r="A833" t="s">
        <v>1080</v>
      </c>
      <c r="B833" t="str">
        <f t="shared" ca="1" si="48"/>
        <v>CUST157</v>
      </c>
      <c r="C833" s="1">
        <f t="shared" ca="1" si="49"/>
        <v>45910</v>
      </c>
      <c r="D833" t="s">
        <v>1253</v>
      </c>
      <c r="E833" t="s">
        <v>1258</v>
      </c>
      <c r="F833">
        <f t="shared" ca="1" si="50"/>
        <v>7</v>
      </c>
      <c r="G833">
        <v>90</v>
      </c>
      <c r="H833">
        <f t="shared" ca="1" si="51"/>
        <v>630</v>
      </c>
      <c r="I833" t="s">
        <v>213</v>
      </c>
      <c r="J833" t="str">
        <f ca="1">VLOOKUP(B833,Customer_Data!$A:$D,4,FALSE)</f>
        <v>Silver</v>
      </c>
    </row>
    <row r="834" spans="1:10" x14ac:dyDescent="0.35">
      <c r="A834" t="s">
        <v>1081</v>
      </c>
      <c r="B834" t="str">
        <f t="shared" ca="1" si="48"/>
        <v>CUST126</v>
      </c>
      <c r="C834" s="1">
        <f t="shared" ca="1" si="49"/>
        <v>45959</v>
      </c>
      <c r="D834" t="s">
        <v>1253</v>
      </c>
      <c r="E834" t="s">
        <v>1258</v>
      </c>
      <c r="F834">
        <f t="shared" ca="1" si="50"/>
        <v>1</v>
      </c>
      <c r="G834">
        <v>90</v>
      </c>
      <c r="H834">
        <f t="shared" ca="1" si="51"/>
        <v>90</v>
      </c>
      <c r="I834" t="s">
        <v>211</v>
      </c>
      <c r="J834" t="str">
        <f ca="1">VLOOKUP(B834,Customer_Data!$A:$D,4,FALSE)</f>
        <v>Regular</v>
      </c>
    </row>
    <row r="835" spans="1:10" x14ac:dyDescent="0.35">
      <c r="A835" t="s">
        <v>1082</v>
      </c>
      <c r="B835" t="str">
        <f t="shared" ref="B835:B898" ca="1" si="52">"CUST"&amp;TEXT(RANDBETWEEN(1,200),"000")</f>
        <v>CUST175</v>
      </c>
      <c r="C835" s="1">
        <f t="shared" ref="C835:C898" ca="1" si="53">DATE(2025,1,1)+RANDBETWEEN(0,364)</f>
        <v>45898</v>
      </c>
      <c r="D835" t="s">
        <v>1253</v>
      </c>
      <c r="E835" t="s">
        <v>1258</v>
      </c>
      <c r="F835">
        <f t="shared" ref="F835:F898" ca="1" si="54">RANDBETWEEN(1,10)</f>
        <v>8</v>
      </c>
      <c r="G835">
        <v>90</v>
      </c>
      <c r="H835">
        <f t="shared" ref="H835:H898" ca="1" si="55">F835*G835</f>
        <v>720</v>
      </c>
      <c r="I835" t="s">
        <v>212</v>
      </c>
      <c r="J835" t="str">
        <f ca="1">VLOOKUP(B835,Customer_Data!$A:$D,4,FALSE)</f>
        <v>Silver</v>
      </c>
    </row>
    <row r="836" spans="1:10" x14ac:dyDescent="0.35">
      <c r="A836" t="s">
        <v>1083</v>
      </c>
      <c r="B836" t="str">
        <f t="shared" ca="1" si="52"/>
        <v>CUST024</v>
      </c>
      <c r="C836" s="1">
        <f t="shared" ca="1" si="53"/>
        <v>45756</v>
      </c>
      <c r="D836" t="s">
        <v>1251</v>
      </c>
      <c r="E836" t="s">
        <v>1256</v>
      </c>
      <c r="F836">
        <f t="shared" ca="1" si="54"/>
        <v>6</v>
      </c>
      <c r="G836">
        <v>80</v>
      </c>
      <c r="H836">
        <f t="shared" ca="1" si="55"/>
        <v>480</v>
      </c>
      <c r="I836" t="s">
        <v>213</v>
      </c>
      <c r="J836" t="str">
        <f ca="1">VLOOKUP(B836,Customer_Data!$A:$D,4,FALSE)</f>
        <v>Regular</v>
      </c>
    </row>
    <row r="837" spans="1:10" x14ac:dyDescent="0.35">
      <c r="A837" t="s">
        <v>1084</v>
      </c>
      <c r="B837" t="str">
        <f t="shared" ca="1" si="52"/>
        <v>CUST179</v>
      </c>
      <c r="C837" s="1">
        <f t="shared" ca="1" si="53"/>
        <v>45676</v>
      </c>
      <c r="D837" t="s">
        <v>1253</v>
      </c>
      <c r="E837" t="s">
        <v>1258</v>
      </c>
      <c r="F837">
        <f t="shared" ca="1" si="54"/>
        <v>2</v>
      </c>
      <c r="G837">
        <v>90</v>
      </c>
      <c r="H837">
        <f t="shared" ca="1" si="55"/>
        <v>180</v>
      </c>
      <c r="I837" t="s">
        <v>211</v>
      </c>
      <c r="J837" t="str">
        <f ca="1">VLOOKUP(B837,Customer_Data!$A:$D,4,FALSE)</f>
        <v>Gold</v>
      </c>
    </row>
    <row r="838" spans="1:10" x14ac:dyDescent="0.35">
      <c r="A838" t="s">
        <v>1085</v>
      </c>
      <c r="B838" t="str">
        <f t="shared" ca="1" si="52"/>
        <v>CUST081</v>
      </c>
      <c r="C838" s="1">
        <f t="shared" ca="1" si="53"/>
        <v>45846</v>
      </c>
      <c r="D838" t="s">
        <v>1250</v>
      </c>
      <c r="E838" t="s">
        <v>1255</v>
      </c>
      <c r="F838">
        <f t="shared" ca="1" si="54"/>
        <v>9</v>
      </c>
      <c r="G838">
        <v>60</v>
      </c>
      <c r="H838">
        <f t="shared" ca="1" si="55"/>
        <v>540</v>
      </c>
      <c r="I838" t="s">
        <v>214</v>
      </c>
      <c r="J838" t="str">
        <f ca="1">VLOOKUP(B838,Customer_Data!$A:$D,4,FALSE)</f>
        <v>Regular</v>
      </c>
    </row>
    <row r="839" spans="1:10" x14ac:dyDescent="0.35">
      <c r="A839" t="s">
        <v>1086</v>
      </c>
      <c r="B839" t="str">
        <f t="shared" ca="1" si="52"/>
        <v>CUST022</v>
      </c>
      <c r="C839" s="1">
        <f t="shared" ca="1" si="53"/>
        <v>45681</v>
      </c>
      <c r="D839" t="s">
        <v>1251</v>
      </c>
      <c r="E839" t="s">
        <v>1256</v>
      </c>
      <c r="F839">
        <f t="shared" ca="1" si="54"/>
        <v>10</v>
      </c>
      <c r="G839">
        <v>80</v>
      </c>
      <c r="H839">
        <f t="shared" ca="1" si="55"/>
        <v>800</v>
      </c>
      <c r="I839" t="s">
        <v>213</v>
      </c>
      <c r="J839" t="str">
        <f ca="1">VLOOKUP(B839,Customer_Data!$A:$D,4,FALSE)</f>
        <v>Regular</v>
      </c>
    </row>
    <row r="840" spans="1:10" x14ac:dyDescent="0.35">
      <c r="A840" t="s">
        <v>1087</v>
      </c>
      <c r="B840" t="str">
        <f t="shared" ca="1" si="52"/>
        <v>CUST192</v>
      </c>
      <c r="C840" s="1">
        <f t="shared" ca="1" si="53"/>
        <v>45996</v>
      </c>
      <c r="D840" t="s">
        <v>1249</v>
      </c>
      <c r="E840" t="s">
        <v>1254</v>
      </c>
      <c r="F840">
        <f t="shared" ca="1" si="54"/>
        <v>2</v>
      </c>
      <c r="G840">
        <v>25</v>
      </c>
      <c r="H840">
        <f t="shared" ca="1" si="55"/>
        <v>50</v>
      </c>
      <c r="I840" t="s">
        <v>213</v>
      </c>
      <c r="J840" t="str">
        <f ca="1">VLOOKUP(B840,Customer_Data!$A:$D,4,FALSE)</f>
        <v>Regular</v>
      </c>
    </row>
    <row r="841" spans="1:10" x14ac:dyDescent="0.35">
      <c r="A841" t="s">
        <v>1088</v>
      </c>
      <c r="B841" t="str">
        <f t="shared" ca="1" si="52"/>
        <v>CUST154</v>
      </c>
      <c r="C841" s="1">
        <f t="shared" ca="1" si="53"/>
        <v>45776</v>
      </c>
      <c r="D841" t="s">
        <v>1251</v>
      </c>
      <c r="E841" t="s">
        <v>1256</v>
      </c>
      <c r="F841">
        <f t="shared" ca="1" si="54"/>
        <v>7</v>
      </c>
      <c r="G841">
        <v>80</v>
      </c>
      <c r="H841">
        <f t="shared" ca="1" si="55"/>
        <v>560</v>
      </c>
      <c r="I841" t="s">
        <v>211</v>
      </c>
      <c r="J841" t="str">
        <f ca="1">VLOOKUP(B841,Customer_Data!$A:$D,4,FALSE)</f>
        <v>Silver</v>
      </c>
    </row>
    <row r="842" spans="1:10" x14ac:dyDescent="0.35">
      <c r="A842" t="s">
        <v>1089</v>
      </c>
      <c r="B842" t="str">
        <f t="shared" ca="1" si="52"/>
        <v>CUST137</v>
      </c>
      <c r="C842" s="1">
        <f t="shared" ca="1" si="53"/>
        <v>45997</v>
      </c>
      <c r="D842" t="s">
        <v>1252</v>
      </c>
      <c r="E842" t="s">
        <v>1257</v>
      </c>
      <c r="F842">
        <f t="shared" ca="1" si="54"/>
        <v>10</v>
      </c>
      <c r="G842">
        <v>120</v>
      </c>
      <c r="H842">
        <f t="shared" ca="1" si="55"/>
        <v>1200</v>
      </c>
      <c r="I842" t="s">
        <v>211</v>
      </c>
      <c r="J842" t="str">
        <f ca="1">VLOOKUP(B842,Customer_Data!$A:$D,4,FALSE)</f>
        <v>Silver</v>
      </c>
    </row>
    <row r="843" spans="1:10" x14ac:dyDescent="0.35">
      <c r="A843" t="s">
        <v>1090</v>
      </c>
      <c r="B843" t="str">
        <f t="shared" ca="1" si="52"/>
        <v>CUST169</v>
      </c>
      <c r="C843" s="1">
        <f t="shared" ca="1" si="53"/>
        <v>45858</v>
      </c>
      <c r="D843" t="s">
        <v>1251</v>
      </c>
      <c r="E843" t="s">
        <v>1256</v>
      </c>
      <c r="F843">
        <f t="shared" ca="1" si="54"/>
        <v>4</v>
      </c>
      <c r="G843">
        <v>80</v>
      </c>
      <c r="H843">
        <f t="shared" ca="1" si="55"/>
        <v>320</v>
      </c>
      <c r="I843" t="s">
        <v>214</v>
      </c>
      <c r="J843" t="str">
        <f ca="1">VLOOKUP(B843,Customer_Data!$A:$D,4,FALSE)</f>
        <v>Regular</v>
      </c>
    </row>
    <row r="844" spans="1:10" x14ac:dyDescent="0.35">
      <c r="A844" t="s">
        <v>1091</v>
      </c>
      <c r="B844" t="str">
        <f t="shared" ca="1" si="52"/>
        <v>CUST199</v>
      </c>
      <c r="C844" s="1">
        <f t="shared" ca="1" si="53"/>
        <v>45711</v>
      </c>
      <c r="D844" t="s">
        <v>1250</v>
      </c>
      <c r="E844" t="s">
        <v>1255</v>
      </c>
      <c r="F844">
        <f t="shared" ca="1" si="54"/>
        <v>2</v>
      </c>
      <c r="G844">
        <v>60</v>
      </c>
      <c r="H844">
        <f t="shared" ca="1" si="55"/>
        <v>120</v>
      </c>
      <c r="I844" t="s">
        <v>214</v>
      </c>
      <c r="J844" t="str">
        <f ca="1">VLOOKUP(B844,Customer_Data!$A:$D,4,FALSE)</f>
        <v>Gold</v>
      </c>
    </row>
    <row r="845" spans="1:10" x14ac:dyDescent="0.35">
      <c r="A845" t="s">
        <v>1092</v>
      </c>
      <c r="B845" t="str">
        <f t="shared" ca="1" si="52"/>
        <v>CUST096</v>
      </c>
      <c r="C845" s="1">
        <f t="shared" ca="1" si="53"/>
        <v>45659</v>
      </c>
      <c r="D845" t="s">
        <v>1253</v>
      </c>
      <c r="E845" t="s">
        <v>1258</v>
      </c>
      <c r="F845">
        <f t="shared" ca="1" si="54"/>
        <v>5</v>
      </c>
      <c r="G845">
        <v>90</v>
      </c>
      <c r="H845">
        <f t="shared" ca="1" si="55"/>
        <v>450</v>
      </c>
      <c r="I845" t="s">
        <v>212</v>
      </c>
      <c r="J845" t="str">
        <f ca="1">VLOOKUP(B845,Customer_Data!$A:$D,4,FALSE)</f>
        <v>Silver</v>
      </c>
    </row>
    <row r="846" spans="1:10" x14ac:dyDescent="0.35">
      <c r="A846" t="s">
        <v>1093</v>
      </c>
      <c r="B846" t="str">
        <f t="shared" ca="1" si="52"/>
        <v>CUST069</v>
      </c>
      <c r="C846" s="1">
        <f t="shared" ca="1" si="53"/>
        <v>45832</v>
      </c>
      <c r="D846" t="s">
        <v>1252</v>
      </c>
      <c r="E846" t="s">
        <v>1257</v>
      </c>
      <c r="F846">
        <f t="shared" ca="1" si="54"/>
        <v>3</v>
      </c>
      <c r="G846">
        <v>120</v>
      </c>
      <c r="H846">
        <f t="shared" ca="1" si="55"/>
        <v>360</v>
      </c>
      <c r="I846" t="s">
        <v>211</v>
      </c>
      <c r="J846" t="str">
        <f ca="1">VLOOKUP(B846,Customer_Data!$A:$D,4,FALSE)</f>
        <v>Regular</v>
      </c>
    </row>
    <row r="847" spans="1:10" x14ac:dyDescent="0.35">
      <c r="A847" t="s">
        <v>1094</v>
      </c>
      <c r="B847" t="str">
        <f t="shared" ca="1" si="52"/>
        <v>CUST106</v>
      </c>
      <c r="C847" s="1">
        <f t="shared" ca="1" si="53"/>
        <v>45830</v>
      </c>
      <c r="D847" t="s">
        <v>1253</v>
      </c>
      <c r="E847" t="s">
        <v>1258</v>
      </c>
      <c r="F847">
        <f t="shared" ca="1" si="54"/>
        <v>1</v>
      </c>
      <c r="G847">
        <v>90</v>
      </c>
      <c r="H847">
        <f t="shared" ca="1" si="55"/>
        <v>90</v>
      </c>
      <c r="I847" t="s">
        <v>211</v>
      </c>
      <c r="J847" t="str">
        <f ca="1">VLOOKUP(B847,Customer_Data!$A:$D,4,FALSE)</f>
        <v>Regular</v>
      </c>
    </row>
    <row r="848" spans="1:10" x14ac:dyDescent="0.35">
      <c r="A848" t="s">
        <v>1095</v>
      </c>
      <c r="B848" t="str">
        <f t="shared" ca="1" si="52"/>
        <v>CUST004</v>
      </c>
      <c r="C848" s="1">
        <f t="shared" ca="1" si="53"/>
        <v>45991</v>
      </c>
      <c r="D848" t="s">
        <v>1252</v>
      </c>
      <c r="E848" t="s">
        <v>1257</v>
      </c>
      <c r="F848">
        <f t="shared" ca="1" si="54"/>
        <v>4</v>
      </c>
      <c r="G848">
        <v>120</v>
      </c>
      <c r="H848">
        <f t="shared" ca="1" si="55"/>
        <v>480</v>
      </c>
      <c r="I848" t="s">
        <v>212</v>
      </c>
      <c r="J848" t="str">
        <f ca="1">VLOOKUP(B848,Customer_Data!$A:$D,4,FALSE)</f>
        <v>Regular</v>
      </c>
    </row>
    <row r="849" spans="1:10" x14ac:dyDescent="0.35">
      <c r="A849" t="s">
        <v>1096</v>
      </c>
      <c r="B849" t="str">
        <f t="shared" ca="1" si="52"/>
        <v>CUST067</v>
      </c>
      <c r="C849" s="1">
        <f t="shared" ca="1" si="53"/>
        <v>45727</v>
      </c>
      <c r="D849" t="s">
        <v>1253</v>
      </c>
      <c r="E849" t="s">
        <v>1258</v>
      </c>
      <c r="F849">
        <f t="shared" ca="1" si="54"/>
        <v>1</v>
      </c>
      <c r="G849">
        <v>90</v>
      </c>
      <c r="H849">
        <f t="shared" ca="1" si="55"/>
        <v>90</v>
      </c>
      <c r="I849" t="s">
        <v>212</v>
      </c>
      <c r="J849" t="str">
        <f ca="1">VLOOKUP(B849,Customer_Data!$A:$D,4,FALSE)</f>
        <v>Regular</v>
      </c>
    </row>
    <row r="850" spans="1:10" x14ac:dyDescent="0.35">
      <c r="A850" t="s">
        <v>1097</v>
      </c>
      <c r="B850" t="str">
        <f t="shared" ca="1" si="52"/>
        <v>CUST136</v>
      </c>
      <c r="C850" s="1">
        <f t="shared" ca="1" si="53"/>
        <v>45774</v>
      </c>
      <c r="D850" t="s">
        <v>1249</v>
      </c>
      <c r="E850" t="s">
        <v>1254</v>
      </c>
      <c r="F850">
        <f t="shared" ca="1" si="54"/>
        <v>9</v>
      </c>
      <c r="G850">
        <v>25</v>
      </c>
      <c r="H850">
        <f t="shared" ca="1" si="55"/>
        <v>225</v>
      </c>
      <c r="I850" t="s">
        <v>213</v>
      </c>
      <c r="J850" t="str">
        <f ca="1">VLOOKUP(B850,Customer_Data!$A:$D,4,FALSE)</f>
        <v>Silver</v>
      </c>
    </row>
    <row r="851" spans="1:10" x14ac:dyDescent="0.35">
      <c r="A851" t="s">
        <v>1098</v>
      </c>
      <c r="B851" t="str">
        <f t="shared" ca="1" si="52"/>
        <v>CUST134</v>
      </c>
      <c r="C851" s="1">
        <f t="shared" ca="1" si="53"/>
        <v>45742</v>
      </c>
      <c r="D851" t="s">
        <v>1252</v>
      </c>
      <c r="E851" t="s">
        <v>1257</v>
      </c>
      <c r="F851">
        <f t="shared" ca="1" si="54"/>
        <v>3</v>
      </c>
      <c r="G851">
        <v>120</v>
      </c>
      <c r="H851">
        <f t="shared" ca="1" si="55"/>
        <v>360</v>
      </c>
      <c r="I851" t="s">
        <v>214</v>
      </c>
      <c r="J851" t="str">
        <f ca="1">VLOOKUP(B851,Customer_Data!$A:$D,4,FALSE)</f>
        <v>Silver</v>
      </c>
    </row>
    <row r="852" spans="1:10" x14ac:dyDescent="0.35">
      <c r="A852" t="s">
        <v>1099</v>
      </c>
      <c r="B852" t="str">
        <f t="shared" ca="1" si="52"/>
        <v>CUST080</v>
      </c>
      <c r="C852" s="1">
        <f t="shared" ca="1" si="53"/>
        <v>45867</v>
      </c>
      <c r="D852" t="s">
        <v>1250</v>
      </c>
      <c r="E852" t="s">
        <v>1255</v>
      </c>
      <c r="F852">
        <f t="shared" ca="1" si="54"/>
        <v>5</v>
      </c>
      <c r="G852">
        <v>60</v>
      </c>
      <c r="H852">
        <f t="shared" ca="1" si="55"/>
        <v>300</v>
      </c>
      <c r="I852" t="s">
        <v>212</v>
      </c>
      <c r="J852" t="str">
        <f ca="1">VLOOKUP(B852,Customer_Data!$A:$D,4,FALSE)</f>
        <v>Gold</v>
      </c>
    </row>
    <row r="853" spans="1:10" x14ac:dyDescent="0.35">
      <c r="A853" t="s">
        <v>1100</v>
      </c>
      <c r="B853" t="str">
        <f t="shared" ca="1" si="52"/>
        <v>CUST087</v>
      </c>
      <c r="C853" s="1">
        <f t="shared" ca="1" si="53"/>
        <v>45952</v>
      </c>
      <c r="D853" t="s">
        <v>1253</v>
      </c>
      <c r="E853" t="s">
        <v>1258</v>
      </c>
      <c r="F853">
        <f t="shared" ca="1" si="54"/>
        <v>8</v>
      </c>
      <c r="G853">
        <v>90</v>
      </c>
      <c r="H853">
        <f t="shared" ca="1" si="55"/>
        <v>720</v>
      </c>
      <c r="I853" t="s">
        <v>214</v>
      </c>
      <c r="J853" t="str">
        <f ca="1">VLOOKUP(B853,Customer_Data!$A:$D,4,FALSE)</f>
        <v>Regular</v>
      </c>
    </row>
    <row r="854" spans="1:10" x14ac:dyDescent="0.35">
      <c r="A854" t="s">
        <v>1101</v>
      </c>
      <c r="B854" t="str">
        <f t="shared" ca="1" si="52"/>
        <v>CUST165</v>
      </c>
      <c r="C854" s="1">
        <f t="shared" ca="1" si="53"/>
        <v>45990</v>
      </c>
      <c r="D854" t="s">
        <v>1253</v>
      </c>
      <c r="E854" t="s">
        <v>1258</v>
      </c>
      <c r="F854">
        <f t="shared" ca="1" si="54"/>
        <v>7</v>
      </c>
      <c r="G854">
        <v>90</v>
      </c>
      <c r="H854">
        <f t="shared" ca="1" si="55"/>
        <v>630</v>
      </c>
      <c r="I854" t="s">
        <v>213</v>
      </c>
      <c r="J854" t="str">
        <f ca="1">VLOOKUP(B854,Customer_Data!$A:$D,4,FALSE)</f>
        <v>Regular</v>
      </c>
    </row>
    <row r="855" spans="1:10" x14ac:dyDescent="0.35">
      <c r="A855" t="s">
        <v>1102</v>
      </c>
      <c r="B855" t="str">
        <f t="shared" ca="1" si="52"/>
        <v>CUST092</v>
      </c>
      <c r="C855" s="1">
        <f t="shared" ca="1" si="53"/>
        <v>45678</v>
      </c>
      <c r="D855" t="s">
        <v>1251</v>
      </c>
      <c r="E855" t="s">
        <v>1256</v>
      </c>
      <c r="F855">
        <f t="shared" ca="1" si="54"/>
        <v>9</v>
      </c>
      <c r="G855">
        <v>80</v>
      </c>
      <c r="H855">
        <f t="shared" ca="1" si="55"/>
        <v>720</v>
      </c>
      <c r="I855" t="s">
        <v>213</v>
      </c>
      <c r="J855" t="str">
        <f ca="1">VLOOKUP(B855,Customer_Data!$A:$D,4,FALSE)</f>
        <v>Regular</v>
      </c>
    </row>
    <row r="856" spans="1:10" x14ac:dyDescent="0.35">
      <c r="A856" t="s">
        <v>1103</v>
      </c>
      <c r="B856" t="str">
        <f t="shared" ca="1" si="52"/>
        <v>CUST029</v>
      </c>
      <c r="C856" s="1">
        <f t="shared" ca="1" si="53"/>
        <v>45721</v>
      </c>
      <c r="D856" t="s">
        <v>1252</v>
      </c>
      <c r="E856" t="s">
        <v>1257</v>
      </c>
      <c r="F856">
        <f t="shared" ca="1" si="54"/>
        <v>4</v>
      </c>
      <c r="G856">
        <v>120</v>
      </c>
      <c r="H856">
        <f t="shared" ca="1" si="55"/>
        <v>480</v>
      </c>
      <c r="I856" t="s">
        <v>212</v>
      </c>
      <c r="J856" t="str">
        <f ca="1">VLOOKUP(B856,Customer_Data!$A:$D,4,FALSE)</f>
        <v>Regular</v>
      </c>
    </row>
    <row r="857" spans="1:10" x14ac:dyDescent="0.35">
      <c r="A857" t="s">
        <v>1104</v>
      </c>
      <c r="B857" t="str">
        <f t="shared" ca="1" si="52"/>
        <v>CUST126</v>
      </c>
      <c r="C857" s="1">
        <f t="shared" ca="1" si="53"/>
        <v>45888</v>
      </c>
      <c r="D857" t="s">
        <v>1252</v>
      </c>
      <c r="E857" t="s">
        <v>1257</v>
      </c>
      <c r="F857">
        <f t="shared" ca="1" si="54"/>
        <v>3</v>
      </c>
      <c r="G857">
        <v>120</v>
      </c>
      <c r="H857">
        <f t="shared" ca="1" si="55"/>
        <v>360</v>
      </c>
      <c r="I857" t="s">
        <v>212</v>
      </c>
      <c r="J857" t="str">
        <f ca="1">VLOOKUP(B857,Customer_Data!$A:$D,4,FALSE)</f>
        <v>Regular</v>
      </c>
    </row>
    <row r="858" spans="1:10" x14ac:dyDescent="0.35">
      <c r="A858" t="s">
        <v>1105</v>
      </c>
      <c r="B858" t="str">
        <f t="shared" ca="1" si="52"/>
        <v>CUST199</v>
      </c>
      <c r="C858" s="1">
        <f t="shared" ca="1" si="53"/>
        <v>45766</v>
      </c>
      <c r="D858" t="s">
        <v>1251</v>
      </c>
      <c r="E858" t="s">
        <v>1256</v>
      </c>
      <c r="F858">
        <f t="shared" ca="1" si="54"/>
        <v>7</v>
      </c>
      <c r="G858">
        <v>80</v>
      </c>
      <c r="H858">
        <f t="shared" ca="1" si="55"/>
        <v>560</v>
      </c>
      <c r="I858" t="s">
        <v>212</v>
      </c>
      <c r="J858" t="str">
        <f ca="1">VLOOKUP(B858,Customer_Data!$A:$D,4,FALSE)</f>
        <v>Gold</v>
      </c>
    </row>
    <row r="859" spans="1:10" x14ac:dyDescent="0.35">
      <c r="A859" t="s">
        <v>1106</v>
      </c>
      <c r="B859" t="str">
        <f t="shared" ca="1" si="52"/>
        <v>CUST011</v>
      </c>
      <c r="C859" s="1">
        <f t="shared" ca="1" si="53"/>
        <v>45890</v>
      </c>
      <c r="D859" t="s">
        <v>1251</v>
      </c>
      <c r="E859" t="s">
        <v>1256</v>
      </c>
      <c r="F859">
        <f t="shared" ca="1" si="54"/>
        <v>4</v>
      </c>
      <c r="G859">
        <v>80</v>
      </c>
      <c r="H859">
        <f t="shared" ca="1" si="55"/>
        <v>320</v>
      </c>
      <c r="I859" t="s">
        <v>212</v>
      </c>
      <c r="J859" t="str">
        <f ca="1">VLOOKUP(B859,Customer_Data!$A:$D,4,FALSE)</f>
        <v>Regular</v>
      </c>
    </row>
    <row r="860" spans="1:10" x14ac:dyDescent="0.35">
      <c r="A860" t="s">
        <v>1107</v>
      </c>
      <c r="B860" t="str">
        <f t="shared" ca="1" si="52"/>
        <v>CUST151</v>
      </c>
      <c r="C860" s="1">
        <f t="shared" ca="1" si="53"/>
        <v>45695</v>
      </c>
      <c r="D860" t="s">
        <v>1253</v>
      </c>
      <c r="E860" t="s">
        <v>1258</v>
      </c>
      <c r="F860">
        <f t="shared" ca="1" si="54"/>
        <v>6</v>
      </c>
      <c r="G860">
        <v>90</v>
      </c>
      <c r="H860">
        <f t="shared" ca="1" si="55"/>
        <v>540</v>
      </c>
      <c r="I860" t="s">
        <v>213</v>
      </c>
      <c r="J860" t="str">
        <f ca="1">VLOOKUP(B860,Customer_Data!$A:$D,4,FALSE)</f>
        <v>Regular</v>
      </c>
    </row>
    <row r="861" spans="1:10" x14ac:dyDescent="0.35">
      <c r="A861" t="s">
        <v>1108</v>
      </c>
      <c r="B861" t="str">
        <f t="shared" ca="1" si="52"/>
        <v>CUST076</v>
      </c>
      <c r="C861" s="1">
        <f t="shared" ca="1" si="53"/>
        <v>45990</v>
      </c>
      <c r="D861" t="s">
        <v>1250</v>
      </c>
      <c r="E861" t="s">
        <v>1255</v>
      </c>
      <c r="F861">
        <f t="shared" ca="1" si="54"/>
        <v>1</v>
      </c>
      <c r="G861">
        <v>60</v>
      </c>
      <c r="H861">
        <f t="shared" ca="1" si="55"/>
        <v>60</v>
      </c>
      <c r="I861" t="s">
        <v>212</v>
      </c>
      <c r="J861" t="str">
        <f ca="1">VLOOKUP(B861,Customer_Data!$A:$D,4,FALSE)</f>
        <v>Silver</v>
      </c>
    </row>
    <row r="862" spans="1:10" x14ac:dyDescent="0.35">
      <c r="A862" t="s">
        <v>1109</v>
      </c>
      <c r="B862" t="str">
        <f t="shared" ca="1" si="52"/>
        <v>CUST008</v>
      </c>
      <c r="C862" s="1">
        <f t="shared" ca="1" si="53"/>
        <v>45735</v>
      </c>
      <c r="D862" t="s">
        <v>1252</v>
      </c>
      <c r="E862" t="s">
        <v>1257</v>
      </c>
      <c r="F862">
        <f t="shared" ca="1" si="54"/>
        <v>3</v>
      </c>
      <c r="G862">
        <v>120</v>
      </c>
      <c r="H862">
        <f t="shared" ca="1" si="55"/>
        <v>360</v>
      </c>
      <c r="I862" t="s">
        <v>214</v>
      </c>
      <c r="J862" t="str">
        <f ca="1">VLOOKUP(B862,Customer_Data!$A:$D,4,FALSE)</f>
        <v>Regular</v>
      </c>
    </row>
    <row r="863" spans="1:10" x14ac:dyDescent="0.35">
      <c r="A863" t="s">
        <v>1110</v>
      </c>
      <c r="B863" t="str">
        <f t="shared" ca="1" si="52"/>
        <v>CUST169</v>
      </c>
      <c r="C863" s="1">
        <f t="shared" ca="1" si="53"/>
        <v>45668</v>
      </c>
      <c r="D863" t="s">
        <v>1252</v>
      </c>
      <c r="E863" t="s">
        <v>1257</v>
      </c>
      <c r="F863">
        <f t="shared" ca="1" si="54"/>
        <v>3</v>
      </c>
      <c r="G863">
        <v>120</v>
      </c>
      <c r="H863">
        <f t="shared" ca="1" si="55"/>
        <v>360</v>
      </c>
      <c r="I863" t="s">
        <v>214</v>
      </c>
      <c r="J863" t="str">
        <f ca="1">VLOOKUP(B863,Customer_Data!$A:$D,4,FALSE)</f>
        <v>Regular</v>
      </c>
    </row>
    <row r="864" spans="1:10" x14ac:dyDescent="0.35">
      <c r="A864" t="s">
        <v>1111</v>
      </c>
      <c r="B864" t="str">
        <f t="shared" ca="1" si="52"/>
        <v>CUST067</v>
      </c>
      <c r="C864" s="1">
        <f t="shared" ca="1" si="53"/>
        <v>45986</v>
      </c>
      <c r="D864" t="s">
        <v>1253</v>
      </c>
      <c r="E864" t="s">
        <v>1258</v>
      </c>
      <c r="F864">
        <f t="shared" ca="1" si="54"/>
        <v>5</v>
      </c>
      <c r="G864">
        <v>90</v>
      </c>
      <c r="H864">
        <f t="shared" ca="1" si="55"/>
        <v>450</v>
      </c>
      <c r="I864" t="s">
        <v>211</v>
      </c>
      <c r="J864" t="str">
        <f ca="1">VLOOKUP(B864,Customer_Data!$A:$D,4,FALSE)</f>
        <v>Regular</v>
      </c>
    </row>
    <row r="865" spans="1:10" x14ac:dyDescent="0.35">
      <c r="A865" t="s">
        <v>1112</v>
      </c>
      <c r="B865" t="str">
        <f t="shared" ca="1" si="52"/>
        <v>CUST003</v>
      </c>
      <c r="C865" s="1">
        <f t="shared" ca="1" si="53"/>
        <v>45886</v>
      </c>
      <c r="D865" t="s">
        <v>1251</v>
      </c>
      <c r="E865" t="s">
        <v>1256</v>
      </c>
      <c r="F865">
        <f t="shared" ca="1" si="54"/>
        <v>7</v>
      </c>
      <c r="G865">
        <v>80</v>
      </c>
      <c r="H865">
        <f t="shared" ca="1" si="55"/>
        <v>560</v>
      </c>
      <c r="I865" t="s">
        <v>214</v>
      </c>
      <c r="J865" t="str">
        <f ca="1">VLOOKUP(B865,Customer_Data!$A:$D,4,FALSE)</f>
        <v>Regular</v>
      </c>
    </row>
    <row r="866" spans="1:10" x14ac:dyDescent="0.35">
      <c r="A866" t="s">
        <v>1113</v>
      </c>
      <c r="B866" t="str">
        <f t="shared" ca="1" si="52"/>
        <v>CUST195</v>
      </c>
      <c r="C866" s="1">
        <f t="shared" ca="1" si="53"/>
        <v>45842</v>
      </c>
      <c r="D866" t="s">
        <v>1253</v>
      </c>
      <c r="E866" t="s">
        <v>1258</v>
      </c>
      <c r="F866">
        <f t="shared" ca="1" si="54"/>
        <v>1</v>
      </c>
      <c r="G866">
        <v>90</v>
      </c>
      <c r="H866">
        <f t="shared" ca="1" si="55"/>
        <v>90</v>
      </c>
      <c r="I866" t="s">
        <v>211</v>
      </c>
      <c r="J866" t="str">
        <f ca="1">VLOOKUP(B866,Customer_Data!$A:$D,4,FALSE)</f>
        <v>Silver</v>
      </c>
    </row>
    <row r="867" spans="1:10" x14ac:dyDescent="0.35">
      <c r="A867" t="s">
        <v>1114</v>
      </c>
      <c r="B867" t="str">
        <f t="shared" ca="1" si="52"/>
        <v>CUST014</v>
      </c>
      <c r="C867" s="1">
        <f t="shared" ca="1" si="53"/>
        <v>45731</v>
      </c>
      <c r="D867" t="s">
        <v>1249</v>
      </c>
      <c r="E867" t="s">
        <v>1254</v>
      </c>
      <c r="F867">
        <f t="shared" ca="1" si="54"/>
        <v>5</v>
      </c>
      <c r="G867">
        <v>25</v>
      </c>
      <c r="H867">
        <f t="shared" ca="1" si="55"/>
        <v>125</v>
      </c>
      <c r="I867" t="s">
        <v>212</v>
      </c>
      <c r="J867" t="str">
        <f ca="1">VLOOKUP(B867,Customer_Data!$A:$D,4,FALSE)</f>
        <v>Silver</v>
      </c>
    </row>
    <row r="868" spans="1:10" x14ac:dyDescent="0.35">
      <c r="A868" t="s">
        <v>1115</v>
      </c>
      <c r="B868" t="str">
        <f t="shared" ca="1" si="52"/>
        <v>CUST136</v>
      </c>
      <c r="C868" s="1">
        <f t="shared" ca="1" si="53"/>
        <v>45757</v>
      </c>
      <c r="D868" t="s">
        <v>1250</v>
      </c>
      <c r="E868" t="s">
        <v>1255</v>
      </c>
      <c r="F868">
        <f t="shared" ca="1" si="54"/>
        <v>1</v>
      </c>
      <c r="G868">
        <v>60</v>
      </c>
      <c r="H868">
        <f t="shared" ca="1" si="55"/>
        <v>60</v>
      </c>
      <c r="I868" t="s">
        <v>212</v>
      </c>
      <c r="J868" t="str">
        <f ca="1">VLOOKUP(B868,Customer_Data!$A:$D,4,FALSE)</f>
        <v>Silver</v>
      </c>
    </row>
    <row r="869" spans="1:10" x14ac:dyDescent="0.35">
      <c r="A869" t="s">
        <v>1116</v>
      </c>
      <c r="B869" t="str">
        <f t="shared" ca="1" si="52"/>
        <v>CUST045</v>
      </c>
      <c r="C869" s="1">
        <f t="shared" ca="1" si="53"/>
        <v>45844</v>
      </c>
      <c r="D869" t="s">
        <v>1249</v>
      </c>
      <c r="E869" t="s">
        <v>1254</v>
      </c>
      <c r="F869">
        <f t="shared" ca="1" si="54"/>
        <v>3</v>
      </c>
      <c r="G869">
        <v>25</v>
      </c>
      <c r="H869">
        <f t="shared" ca="1" si="55"/>
        <v>75</v>
      </c>
      <c r="I869" t="s">
        <v>214</v>
      </c>
      <c r="J869" t="str">
        <f ca="1">VLOOKUP(B869,Customer_Data!$A:$D,4,FALSE)</f>
        <v>Regular</v>
      </c>
    </row>
    <row r="870" spans="1:10" x14ac:dyDescent="0.35">
      <c r="A870" t="s">
        <v>1117</v>
      </c>
      <c r="B870" t="str">
        <f t="shared" ca="1" si="52"/>
        <v>CUST018</v>
      </c>
      <c r="C870" s="1">
        <f t="shared" ca="1" si="53"/>
        <v>46001</v>
      </c>
      <c r="D870" t="s">
        <v>1250</v>
      </c>
      <c r="E870" t="s">
        <v>1255</v>
      </c>
      <c r="F870">
        <f t="shared" ca="1" si="54"/>
        <v>8</v>
      </c>
      <c r="G870">
        <v>60</v>
      </c>
      <c r="H870">
        <f t="shared" ca="1" si="55"/>
        <v>480</v>
      </c>
      <c r="I870" t="s">
        <v>211</v>
      </c>
      <c r="J870" t="str">
        <f ca="1">VLOOKUP(B870,Customer_Data!$A:$D,4,FALSE)</f>
        <v>Gold</v>
      </c>
    </row>
    <row r="871" spans="1:10" x14ac:dyDescent="0.35">
      <c r="A871" t="s">
        <v>1118</v>
      </c>
      <c r="B871" t="str">
        <f t="shared" ca="1" si="52"/>
        <v>CUST058</v>
      </c>
      <c r="C871" s="1">
        <f t="shared" ca="1" si="53"/>
        <v>45734</v>
      </c>
      <c r="D871" t="s">
        <v>1252</v>
      </c>
      <c r="E871" t="s">
        <v>1257</v>
      </c>
      <c r="F871">
        <f t="shared" ca="1" si="54"/>
        <v>1</v>
      </c>
      <c r="G871">
        <v>120</v>
      </c>
      <c r="H871">
        <f t="shared" ca="1" si="55"/>
        <v>120</v>
      </c>
      <c r="I871" t="s">
        <v>212</v>
      </c>
      <c r="J871" t="str">
        <f ca="1">VLOOKUP(B871,Customer_Data!$A:$D,4,FALSE)</f>
        <v>Gold</v>
      </c>
    </row>
    <row r="872" spans="1:10" x14ac:dyDescent="0.35">
      <c r="A872" t="s">
        <v>1119</v>
      </c>
      <c r="B872" t="str">
        <f t="shared" ca="1" si="52"/>
        <v>CUST059</v>
      </c>
      <c r="C872" s="1">
        <f t="shared" ca="1" si="53"/>
        <v>45812</v>
      </c>
      <c r="D872" t="s">
        <v>1249</v>
      </c>
      <c r="E872" t="s">
        <v>1254</v>
      </c>
      <c r="F872">
        <f t="shared" ca="1" si="54"/>
        <v>6</v>
      </c>
      <c r="G872">
        <v>25</v>
      </c>
      <c r="H872">
        <f t="shared" ca="1" si="55"/>
        <v>150</v>
      </c>
      <c r="I872" t="s">
        <v>212</v>
      </c>
      <c r="J872" t="str">
        <f ca="1">VLOOKUP(B872,Customer_Data!$A:$D,4,FALSE)</f>
        <v>Gold</v>
      </c>
    </row>
    <row r="873" spans="1:10" x14ac:dyDescent="0.35">
      <c r="A873" t="s">
        <v>1120</v>
      </c>
      <c r="B873" t="str">
        <f t="shared" ca="1" si="52"/>
        <v>CUST064</v>
      </c>
      <c r="C873" s="1">
        <f t="shared" ca="1" si="53"/>
        <v>45715</v>
      </c>
      <c r="D873" t="s">
        <v>1250</v>
      </c>
      <c r="E873" t="s">
        <v>1255</v>
      </c>
      <c r="F873">
        <f t="shared" ca="1" si="54"/>
        <v>5</v>
      </c>
      <c r="G873">
        <v>60</v>
      </c>
      <c r="H873">
        <f t="shared" ca="1" si="55"/>
        <v>300</v>
      </c>
      <c r="I873" t="s">
        <v>212</v>
      </c>
      <c r="J873" t="str">
        <f ca="1">VLOOKUP(B873,Customer_Data!$A:$D,4,FALSE)</f>
        <v>Regular</v>
      </c>
    </row>
    <row r="874" spans="1:10" x14ac:dyDescent="0.35">
      <c r="A874" t="s">
        <v>1121</v>
      </c>
      <c r="B874" t="str">
        <f t="shared" ca="1" si="52"/>
        <v>CUST175</v>
      </c>
      <c r="C874" s="1">
        <f t="shared" ca="1" si="53"/>
        <v>45736</v>
      </c>
      <c r="D874" t="s">
        <v>1251</v>
      </c>
      <c r="E874" t="s">
        <v>1256</v>
      </c>
      <c r="F874">
        <f t="shared" ca="1" si="54"/>
        <v>4</v>
      </c>
      <c r="G874">
        <v>80</v>
      </c>
      <c r="H874">
        <f t="shared" ca="1" si="55"/>
        <v>320</v>
      </c>
      <c r="I874" t="s">
        <v>211</v>
      </c>
      <c r="J874" t="str">
        <f ca="1">VLOOKUP(B874,Customer_Data!$A:$D,4,FALSE)</f>
        <v>Silver</v>
      </c>
    </row>
    <row r="875" spans="1:10" x14ac:dyDescent="0.35">
      <c r="A875" t="s">
        <v>1122</v>
      </c>
      <c r="B875" t="str">
        <f t="shared" ca="1" si="52"/>
        <v>CUST091</v>
      </c>
      <c r="C875" s="1">
        <f t="shared" ca="1" si="53"/>
        <v>45957</v>
      </c>
      <c r="D875" t="s">
        <v>1253</v>
      </c>
      <c r="E875" t="s">
        <v>1258</v>
      </c>
      <c r="F875">
        <f t="shared" ca="1" si="54"/>
        <v>4</v>
      </c>
      <c r="G875">
        <v>90</v>
      </c>
      <c r="H875">
        <f t="shared" ca="1" si="55"/>
        <v>360</v>
      </c>
      <c r="I875" t="s">
        <v>211</v>
      </c>
      <c r="J875" t="str">
        <f ca="1">VLOOKUP(B875,Customer_Data!$A:$D,4,FALSE)</f>
        <v>Regular</v>
      </c>
    </row>
    <row r="876" spans="1:10" x14ac:dyDescent="0.35">
      <c r="A876" t="s">
        <v>1123</v>
      </c>
      <c r="B876" t="str">
        <f t="shared" ca="1" si="52"/>
        <v>CUST161</v>
      </c>
      <c r="C876" s="1">
        <f t="shared" ca="1" si="53"/>
        <v>45756</v>
      </c>
      <c r="D876" t="s">
        <v>1249</v>
      </c>
      <c r="E876" t="s">
        <v>1254</v>
      </c>
      <c r="F876">
        <f t="shared" ca="1" si="54"/>
        <v>3</v>
      </c>
      <c r="G876">
        <v>25</v>
      </c>
      <c r="H876">
        <f t="shared" ca="1" si="55"/>
        <v>75</v>
      </c>
      <c r="I876" t="s">
        <v>212</v>
      </c>
      <c r="J876" t="str">
        <f ca="1">VLOOKUP(B876,Customer_Data!$A:$D,4,FALSE)</f>
        <v>Regular</v>
      </c>
    </row>
    <row r="877" spans="1:10" x14ac:dyDescent="0.35">
      <c r="A877" t="s">
        <v>1124</v>
      </c>
      <c r="B877" t="str">
        <f t="shared" ca="1" si="52"/>
        <v>CUST034</v>
      </c>
      <c r="C877" s="1">
        <f t="shared" ca="1" si="53"/>
        <v>46015</v>
      </c>
      <c r="D877" t="s">
        <v>1250</v>
      </c>
      <c r="E877" t="s">
        <v>1255</v>
      </c>
      <c r="F877">
        <f t="shared" ca="1" si="54"/>
        <v>2</v>
      </c>
      <c r="G877">
        <v>60</v>
      </c>
      <c r="H877">
        <f t="shared" ca="1" si="55"/>
        <v>120</v>
      </c>
      <c r="I877" t="s">
        <v>213</v>
      </c>
      <c r="J877" t="str">
        <f ca="1">VLOOKUP(B877,Customer_Data!$A:$D,4,FALSE)</f>
        <v>Silver</v>
      </c>
    </row>
    <row r="878" spans="1:10" x14ac:dyDescent="0.35">
      <c r="A878" t="s">
        <v>1125</v>
      </c>
      <c r="B878" t="str">
        <f t="shared" ca="1" si="52"/>
        <v>CUST028</v>
      </c>
      <c r="C878" s="1">
        <f t="shared" ca="1" si="53"/>
        <v>45823</v>
      </c>
      <c r="D878" t="s">
        <v>1252</v>
      </c>
      <c r="E878" t="s">
        <v>1257</v>
      </c>
      <c r="F878">
        <f t="shared" ca="1" si="54"/>
        <v>6</v>
      </c>
      <c r="G878">
        <v>120</v>
      </c>
      <c r="H878">
        <f t="shared" ca="1" si="55"/>
        <v>720</v>
      </c>
      <c r="I878" t="s">
        <v>212</v>
      </c>
      <c r="J878" t="str">
        <f ca="1">VLOOKUP(B878,Customer_Data!$A:$D,4,FALSE)</f>
        <v>Regular</v>
      </c>
    </row>
    <row r="879" spans="1:10" x14ac:dyDescent="0.35">
      <c r="A879" t="s">
        <v>1126</v>
      </c>
      <c r="B879" t="str">
        <f t="shared" ca="1" si="52"/>
        <v>CUST032</v>
      </c>
      <c r="C879" s="1">
        <f t="shared" ca="1" si="53"/>
        <v>45827</v>
      </c>
      <c r="D879" t="s">
        <v>1252</v>
      </c>
      <c r="E879" t="s">
        <v>1257</v>
      </c>
      <c r="F879">
        <f t="shared" ca="1" si="54"/>
        <v>8</v>
      </c>
      <c r="G879">
        <v>120</v>
      </c>
      <c r="H879">
        <f t="shared" ca="1" si="55"/>
        <v>960</v>
      </c>
      <c r="I879" t="s">
        <v>211</v>
      </c>
      <c r="J879" t="str">
        <f ca="1">VLOOKUP(B879,Customer_Data!$A:$D,4,FALSE)</f>
        <v>Regular</v>
      </c>
    </row>
    <row r="880" spans="1:10" x14ac:dyDescent="0.35">
      <c r="A880" t="s">
        <v>1127</v>
      </c>
      <c r="B880" t="str">
        <f t="shared" ca="1" si="52"/>
        <v>CUST059</v>
      </c>
      <c r="C880" s="1">
        <f t="shared" ca="1" si="53"/>
        <v>45868</v>
      </c>
      <c r="D880" t="s">
        <v>1253</v>
      </c>
      <c r="E880" t="s">
        <v>1258</v>
      </c>
      <c r="F880">
        <f t="shared" ca="1" si="54"/>
        <v>1</v>
      </c>
      <c r="G880">
        <v>90</v>
      </c>
      <c r="H880">
        <f t="shared" ca="1" si="55"/>
        <v>90</v>
      </c>
      <c r="I880" t="s">
        <v>213</v>
      </c>
      <c r="J880" t="str">
        <f ca="1">VLOOKUP(B880,Customer_Data!$A:$D,4,FALSE)</f>
        <v>Gold</v>
      </c>
    </row>
    <row r="881" spans="1:10" x14ac:dyDescent="0.35">
      <c r="A881" t="s">
        <v>1128</v>
      </c>
      <c r="B881" t="str">
        <f t="shared" ca="1" si="52"/>
        <v>CUST149</v>
      </c>
      <c r="C881" s="1">
        <f t="shared" ca="1" si="53"/>
        <v>45786</v>
      </c>
      <c r="D881" t="s">
        <v>1253</v>
      </c>
      <c r="E881" t="s">
        <v>1258</v>
      </c>
      <c r="F881">
        <f t="shared" ca="1" si="54"/>
        <v>2</v>
      </c>
      <c r="G881">
        <v>90</v>
      </c>
      <c r="H881">
        <f t="shared" ca="1" si="55"/>
        <v>180</v>
      </c>
      <c r="I881" t="s">
        <v>213</v>
      </c>
      <c r="J881" t="str">
        <f ca="1">VLOOKUP(B881,Customer_Data!$A:$D,4,FALSE)</f>
        <v>Regular</v>
      </c>
    </row>
    <row r="882" spans="1:10" x14ac:dyDescent="0.35">
      <c r="A882" t="s">
        <v>1129</v>
      </c>
      <c r="B882" t="str">
        <f t="shared" ca="1" si="52"/>
        <v>CUST151</v>
      </c>
      <c r="C882" s="1">
        <f t="shared" ca="1" si="53"/>
        <v>45958</v>
      </c>
      <c r="D882" t="s">
        <v>1252</v>
      </c>
      <c r="E882" t="s">
        <v>1257</v>
      </c>
      <c r="F882">
        <f t="shared" ca="1" si="54"/>
        <v>4</v>
      </c>
      <c r="G882">
        <v>120</v>
      </c>
      <c r="H882">
        <f t="shared" ca="1" si="55"/>
        <v>480</v>
      </c>
      <c r="I882" t="s">
        <v>213</v>
      </c>
      <c r="J882" t="str">
        <f ca="1">VLOOKUP(B882,Customer_Data!$A:$D,4,FALSE)</f>
        <v>Regular</v>
      </c>
    </row>
    <row r="883" spans="1:10" x14ac:dyDescent="0.35">
      <c r="A883" t="s">
        <v>1130</v>
      </c>
      <c r="B883" t="str">
        <f t="shared" ca="1" si="52"/>
        <v>CUST038</v>
      </c>
      <c r="C883" s="1">
        <f t="shared" ca="1" si="53"/>
        <v>45845</v>
      </c>
      <c r="D883" t="s">
        <v>1250</v>
      </c>
      <c r="E883" t="s">
        <v>1255</v>
      </c>
      <c r="F883">
        <f t="shared" ca="1" si="54"/>
        <v>1</v>
      </c>
      <c r="G883">
        <v>60</v>
      </c>
      <c r="H883">
        <f t="shared" ca="1" si="55"/>
        <v>60</v>
      </c>
      <c r="I883" t="s">
        <v>214</v>
      </c>
      <c r="J883" t="str">
        <f ca="1">VLOOKUP(B883,Customer_Data!$A:$D,4,FALSE)</f>
        <v>Gold</v>
      </c>
    </row>
    <row r="884" spans="1:10" x14ac:dyDescent="0.35">
      <c r="A884" t="s">
        <v>1131</v>
      </c>
      <c r="B884" t="str">
        <f t="shared" ca="1" si="52"/>
        <v>CUST068</v>
      </c>
      <c r="C884" s="1">
        <f t="shared" ca="1" si="53"/>
        <v>45766</v>
      </c>
      <c r="D884" t="s">
        <v>1253</v>
      </c>
      <c r="E884" t="s">
        <v>1258</v>
      </c>
      <c r="F884">
        <f t="shared" ca="1" si="54"/>
        <v>10</v>
      </c>
      <c r="G884">
        <v>90</v>
      </c>
      <c r="H884">
        <f t="shared" ca="1" si="55"/>
        <v>900</v>
      </c>
      <c r="I884" t="s">
        <v>214</v>
      </c>
      <c r="J884" t="str">
        <f ca="1">VLOOKUP(B884,Customer_Data!$A:$D,4,FALSE)</f>
        <v>Regular</v>
      </c>
    </row>
    <row r="885" spans="1:10" x14ac:dyDescent="0.35">
      <c r="A885" t="s">
        <v>1132</v>
      </c>
      <c r="B885" t="str">
        <f t="shared" ca="1" si="52"/>
        <v>CUST018</v>
      </c>
      <c r="C885" s="1">
        <f t="shared" ca="1" si="53"/>
        <v>45785</v>
      </c>
      <c r="D885" t="s">
        <v>1253</v>
      </c>
      <c r="E885" t="s">
        <v>1258</v>
      </c>
      <c r="F885">
        <f t="shared" ca="1" si="54"/>
        <v>4</v>
      </c>
      <c r="G885">
        <v>90</v>
      </c>
      <c r="H885">
        <f t="shared" ca="1" si="55"/>
        <v>360</v>
      </c>
      <c r="I885" t="s">
        <v>213</v>
      </c>
      <c r="J885" t="str">
        <f ca="1">VLOOKUP(B885,Customer_Data!$A:$D,4,FALSE)</f>
        <v>Gold</v>
      </c>
    </row>
    <row r="886" spans="1:10" x14ac:dyDescent="0.35">
      <c r="A886" t="s">
        <v>1133</v>
      </c>
      <c r="B886" t="str">
        <f t="shared" ca="1" si="52"/>
        <v>CUST042</v>
      </c>
      <c r="C886" s="1">
        <f t="shared" ca="1" si="53"/>
        <v>45701</v>
      </c>
      <c r="D886" t="s">
        <v>1250</v>
      </c>
      <c r="E886" t="s">
        <v>1255</v>
      </c>
      <c r="F886">
        <f t="shared" ca="1" si="54"/>
        <v>3</v>
      </c>
      <c r="G886">
        <v>60</v>
      </c>
      <c r="H886">
        <f t="shared" ca="1" si="55"/>
        <v>180</v>
      </c>
      <c r="I886" t="s">
        <v>211</v>
      </c>
      <c r="J886" t="str">
        <f ca="1">VLOOKUP(B886,Customer_Data!$A:$D,4,FALSE)</f>
        <v>Regular</v>
      </c>
    </row>
    <row r="887" spans="1:10" x14ac:dyDescent="0.35">
      <c r="A887" t="s">
        <v>1134</v>
      </c>
      <c r="B887" t="str">
        <f t="shared" ca="1" si="52"/>
        <v>CUST048</v>
      </c>
      <c r="C887" s="1">
        <f t="shared" ca="1" si="53"/>
        <v>45698</v>
      </c>
      <c r="D887" t="s">
        <v>1251</v>
      </c>
      <c r="E887" t="s">
        <v>1256</v>
      </c>
      <c r="F887">
        <f t="shared" ca="1" si="54"/>
        <v>4</v>
      </c>
      <c r="G887">
        <v>80</v>
      </c>
      <c r="H887">
        <f t="shared" ca="1" si="55"/>
        <v>320</v>
      </c>
      <c r="I887" t="s">
        <v>213</v>
      </c>
      <c r="J887" t="str">
        <f ca="1">VLOOKUP(B887,Customer_Data!$A:$D,4,FALSE)</f>
        <v>Regular</v>
      </c>
    </row>
    <row r="888" spans="1:10" x14ac:dyDescent="0.35">
      <c r="A888" t="s">
        <v>1135</v>
      </c>
      <c r="B888" t="str">
        <f t="shared" ca="1" si="52"/>
        <v>CUST141</v>
      </c>
      <c r="C888" s="1">
        <f t="shared" ca="1" si="53"/>
        <v>45874</v>
      </c>
      <c r="D888" t="s">
        <v>1252</v>
      </c>
      <c r="E888" t="s">
        <v>1257</v>
      </c>
      <c r="F888">
        <f t="shared" ca="1" si="54"/>
        <v>9</v>
      </c>
      <c r="G888">
        <v>120</v>
      </c>
      <c r="H888">
        <f t="shared" ca="1" si="55"/>
        <v>1080</v>
      </c>
      <c r="I888" t="s">
        <v>212</v>
      </c>
      <c r="J888" t="str">
        <f ca="1">VLOOKUP(B888,Customer_Data!$A:$D,4,FALSE)</f>
        <v>Regular</v>
      </c>
    </row>
    <row r="889" spans="1:10" x14ac:dyDescent="0.35">
      <c r="A889" t="s">
        <v>1136</v>
      </c>
      <c r="B889" t="str">
        <f t="shared" ca="1" si="52"/>
        <v>CUST036</v>
      </c>
      <c r="C889" s="1">
        <f t="shared" ca="1" si="53"/>
        <v>45857</v>
      </c>
      <c r="D889" t="s">
        <v>1249</v>
      </c>
      <c r="E889" t="s">
        <v>1254</v>
      </c>
      <c r="F889">
        <f t="shared" ca="1" si="54"/>
        <v>1</v>
      </c>
      <c r="G889">
        <v>25</v>
      </c>
      <c r="H889">
        <f t="shared" ca="1" si="55"/>
        <v>25</v>
      </c>
      <c r="I889" t="s">
        <v>211</v>
      </c>
      <c r="J889" t="str">
        <f ca="1">VLOOKUP(B889,Customer_Data!$A:$D,4,FALSE)</f>
        <v>Silver</v>
      </c>
    </row>
    <row r="890" spans="1:10" x14ac:dyDescent="0.35">
      <c r="A890" t="s">
        <v>1137</v>
      </c>
      <c r="B890" t="str">
        <f t="shared" ca="1" si="52"/>
        <v>CUST084</v>
      </c>
      <c r="C890" s="1">
        <f t="shared" ca="1" si="53"/>
        <v>45709</v>
      </c>
      <c r="D890" t="s">
        <v>1250</v>
      </c>
      <c r="E890" t="s">
        <v>1255</v>
      </c>
      <c r="F890">
        <f t="shared" ca="1" si="54"/>
        <v>7</v>
      </c>
      <c r="G890">
        <v>60</v>
      </c>
      <c r="H890">
        <f t="shared" ca="1" si="55"/>
        <v>420</v>
      </c>
      <c r="I890" t="s">
        <v>212</v>
      </c>
      <c r="J890" t="str">
        <f ca="1">VLOOKUP(B890,Customer_Data!$A:$D,4,FALSE)</f>
        <v>Regular</v>
      </c>
    </row>
    <row r="891" spans="1:10" x14ac:dyDescent="0.35">
      <c r="A891" t="s">
        <v>1138</v>
      </c>
      <c r="B891" t="str">
        <f t="shared" ca="1" si="52"/>
        <v>CUST112</v>
      </c>
      <c r="C891" s="1">
        <f t="shared" ca="1" si="53"/>
        <v>45785</v>
      </c>
      <c r="D891" t="s">
        <v>1250</v>
      </c>
      <c r="E891" t="s">
        <v>1255</v>
      </c>
      <c r="F891">
        <f t="shared" ca="1" si="54"/>
        <v>2</v>
      </c>
      <c r="G891">
        <v>60</v>
      </c>
      <c r="H891">
        <f t="shared" ca="1" si="55"/>
        <v>120</v>
      </c>
      <c r="I891" t="s">
        <v>211</v>
      </c>
      <c r="J891" t="str">
        <f ca="1">VLOOKUP(B891,Customer_Data!$A:$D,4,FALSE)</f>
        <v>Regular</v>
      </c>
    </row>
    <row r="892" spans="1:10" x14ac:dyDescent="0.35">
      <c r="A892" t="s">
        <v>1139</v>
      </c>
      <c r="B892" t="str">
        <f t="shared" ca="1" si="52"/>
        <v>CUST043</v>
      </c>
      <c r="C892" s="1">
        <f t="shared" ca="1" si="53"/>
        <v>45801</v>
      </c>
      <c r="D892" t="s">
        <v>1251</v>
      </c>
      <c r="E892" t="s">
        <v>1256</v>
      </c>
      <c r="F892">
        <f t="shared" ca="1" si="54"/>
        <v>4</v>
      </c>
      <c r="G892">
        <v>80</v>
      </c>
      <c r="H892">
        <f t="shared" ca="1" si="55"/>
        <v>320</v>
      </c>
      <c r="I892" t="s">
        <v>212</v>
      </c>
      <c r="J892" t="str">
        <f ca="1">VLOOKUP(B892,Customer_Data!$A:$D,4,FALSE)</f>
        <v>Regular</v>
      </c>
    </row>
    <row r="893" spans="1:10" x14ac:dyDescent="0.35">
      <c r="A893" t="s">
        <v>1140</v>
      </c>
      <c r="B893" t="str">
        <f t="shared" ca="1" si="52"/>
        <v>CUST121</v>
      </c>
      <c r="C893" s="1">
        <f t="shared" ca="1" si="53"/>
        <v>45700</v>
      </c>
      <c r="D893" t="s">
        <v>1250</v>
      </c>
      <c r="E893" t="s">
        <v>1255</v>
      </c>
      <c r="F893">
        <f t="shared" ca="1" si="54"/>
        <v>2</v>
      </c>
      <c r="G893">
        <v>60</v>
      </c>
      <c r="H893">
        <f t="shared" ca="1" si="55"/>
        <v>120</v>
      </c>
      <c r="I893" t="s">
        <v>214</v>
      </c>
      <c r="J893" t="str">
        <f ca="1">VLOOKUP(B893,Customer_Data!$A:$D,4,FALSE)</f>
        <v>Regular</v>
      </c>
    </row>
    <row r="894" spans="1:10" x14ac:dyDescent="0.35">
      <c r="A894" t="s">
        <v>1141</v>
      </c>
      <c r="B894" t="str">
        <f t="shared" ca="1" si="52"/>
        <v>CUST014</v>
      </c>
      <c r="C894" s="1">
        <f t="shared" ca="1" si="53"/>
        <v>45719</v>
      </c>
      <c r="D894" t="s">
        <v>1250</v>
      </c>
      <c r="E894" t="s">
        <v>1255</v>
      </c>
      <c r="F894">
        <f t="shared" ca="1" si="54"/>
        <v>2</v>
      </c>
      <c r="G894">
        <v>60</v>
      </c>
      <c r="H894">
        <f t="shared" ca="1" si="55"/>
        <v>120</v>
      </c>
      <c r="I894" t="s">
        <v>212</v>
      </c>
      <c r="J894" t="str">
        <f ca="1">VLOOKUP(B894,Customer_Data!$A:$D,4,FALSE)</f>
        <v>Silver</v>
      </c>
    </row>
    <row r="895" spans="1:10" x14ac:dyDescent="0.35">
      <c r="A895" t="s">
        <v>1142</v>
      </c>
      <c r="B895" t="str">
        <f t="shared" ca="1" si="52"/>
        <v>CUST149</v>
      </c>
      <c r="C895" s="1">
        <f t="shared" ca="1" si="53"/>
        <v>45883</v>
      </c>
      <c r="D895" t="s">
        <v>1253</v>
      </c>
      <c r="E895" t="s">
        <v>1258</v>
      </c>
      <c r="F895">
        <f t="shared" ca="1" si="54"/>
        <v>10</v>
      </c>
      <c r="G895">
        <v>90</v>
      </c>
      <c r="H895">
        <f t="shared" ca="1" si="55"/>
        <v>900</v>
      </c>
      <c r="I895" t="s">
        <v>212</v>
      </c>
      <c r="J895" t="str">
        <f ca="1">VLOOKUP(B895,Customer_Data!$A:$D,4,FALSE)</f>
        <v>Regular</v>
      </c>
    </row>
    <row r="896" spans="1:10" x14ac:dyDescent="0.35">
      <c r="A896" t="s">
        <v>1143</v>
      </c>
      <c r="B896" t="str">
        <f t="shared" ca="1" si="52"/>
        <v>CUST083</v>
      </c>
      <c r="C896" s="1">
        <f t="shared" ca="1" si="53"/>
        <v>45739</v>
      </c>
      <c r="D896" t="s">
        <v>1251</v>
      </c>
      <c r="E896" t="s">
        <v>1256</v>
      </c>
      <c r="F896">
        <f t="shared" ca="1" si="54"/>
        <v>1</v>
      </c>
      <c r="G896">
        <v>80</v>
      </c>
      <c r="H896">
        <f t="shared" ca="1" si="55"/>
        <v>80</v>
      </c>
      <c r="I896" t="s">
        <v>212</v>
      </c>
      <c r="J896" t="str">
        <f ca="1">VLOOKUP(B896,Customer_Data!$A:$D,4,FALSE)</f>
        <v>Regular</v>
      </c>
    </row>
    <row r="897" spans="1:10" x14ac:dyDescent="0.35">
      <c r="A897" t="s">
        <v>1144</v>
      </c>
      <c r="B897" t="str">
        <f t="shared" ca="1" si="52"/>
        <v>CUST132</v>
      </c>
      <c r="C897" s="1">
        <f t="shared" ca="1" si="53"/>
        <v>45825</v>
      </c>
      <c r="D897" t="s">
        <v>1250</v>
      </c>
      <c r="E897" t="s">
        <v>1255</v>
      </c>
      <c r="F897">
        <f t="shared" ca="1" si="54"/>
        <v>8</v>
      </c>
      <c r="G897">
        <v>60</v>
      </c>
      <c r="H897">
        <f t="shared" ca="1" si="55"/>
        <v>480</v>
      </c>
      <c r="I897" t="s">
        <v>214</v>
      </c>
      <c r="J897" t="str">
        <f ca="1">VLOOKUP(B897,Customer_Data!$A:$D,4,FALSE)</f>
        <v>Regular</v>
      </c>
    </row>
    <row r="898" spans="1:10" x14ac:dyDescent="0.35">
      <c r="A898" t="s">
        <v>1145</v>
      </c>
      <c r="B898" t="str">
        <f t="shared" ca="1" si="52"/>
        <v>CUST104</v>
      </c>
      <c r="C898" s="1">
        <f t="shared" ca="1" si="53"/>
        <v>45799</v>
      </c>
      <c r="D898" t="s">
        <v>1253</v>
      </c>
      <c r="E898" t="s">
        <v>1258</v>
      </c>
      <c r="F898">
        <f t="shared" ca="1" si="54"/>
        <v>2</v>
      </c>
      <c r="G898">
        <v>90</v>
      </c>
      <c r="H898">
        <f t="shared" ca="1" si="55"/>
        <v>180</v>
      </c>
      <c r="I898" t="s">
        <v>212</v>
      </c>
      <c r="J898" t="str">
        <f ca="1">VLOOKUP(B898,Customer_Data!$A:$D,4,FALSE)</f>
        <v>Regular</v>
      </c>
    </row>
    <row r="899" spans="1:10" x14ac:dyDescent="0.35">
      <c r="A899" t="s">
        <v>1146</v>
      </c>
      <c r="B899" t="str">
        <f t="shared" ref="B899:B962" ca="1" si="56">"CUST"&amp;TEXT(RANDBETWEEN(1,200),"000")</f>
        <v>CUST098</v>
      </c>
      <c r="C899" s="1">
        <f t="shared" ref="C899:C962" ca="1" si="57">DATE(2025,1,1)+RANDBETWEEN(0,364)</f>
        <v>45931</v>
      </c>
      <c r="D899" t="s">
        <v>1249</v>
      </c>
      <c r="E899" t="s">
        <v>1254</v>
      </c>
      <c r="F899">
        <f t="shared" ref="F899:F962" ca="1" si="58">RANDBETWEEN(1,10)</f>
        <v>5</v>
      </c>
      <c r="G899">
        <v>25</v>
      </c>
      <c r="H899">
        <f t="shared" ref="H899:H962" ca="1" si="59">F899*G899</f>
        <v>125</v>
      </c>
      <c r="I899" t="s">
        <v>214</v>
      </c>
      <c r="J899" t="str">
        <f ca="1">VLOOKUP(B899,Customer_Data!$A:$D,4,FALSE)</f>
        <v>Gold</v>
      </c>
    </row>
    <row r="900" spans="1:10" x14ac:dyDescent="0.35">
      <c r="A900" t="s">
        <v>1147</v>
      </c>
      <c r="B900" t="str">
        <f t="shared" ca="1" si="56"/>
        <v>CUST133</v>
      </c>
      <c r="C900" s="1">
        <f t="shared" ca="1" si="57"/>
        <v>45829</v>
      </c>
      <c r="D900" t="s">
        <v>1252</v>
      </c>
      <c r="E900" t="s">
        <v>1257</v>
      </c>
      <c r="F900">
        <f t="shared" ca="1" si="58"/>
        <v>3</v>
      </c>
      <c r="G900">
        <v>120</v>
      </c>
      <c r="H900">
        <f t="shared" ca="1" si="59"/>
        <v>360</v>
      </c>
      <c r="I900" t="s">
        <v>212</v>
      </c>
      <c r="J900" t="str">
        <f ca="1">VLOOKUP(B900,Customer_Data!$A:$D,4,FALSE)</f>
        <v>Silver</v>
      </c>
    </row>
    <row r="901" spans="1:10" x14ac:dyDescent="0.35">
      <c r="A901" t="s">
        <v>1148</v>
      </c>
      <c r="B901" t="str">
        <f t="shared" ca="1" si="56"/>
        <v>CUST047</v>
      </c>
      <c r="C901" s="1">
        <f t="shared" ca="1" si="57"/>
        <v>45895</v>
      </c>
      <c r="D901" t="s">
        <v>1251</v>
      </c>
      <c r="E901" t="s">
        <v>1256</v>
      </c>
      <c r="F901">
        <f t="shared" ca="1" si="58"/>
        <v>8</v>
      </c>
      <c r="G901">
        <v>80</v>
      </c>
      <c r="H901">
        <f t="shared" ca="1" si="59"/>
        <v>640</v>
      </c>
      <c r="I901" t="s">
        <v>211</v>
      </c>
      <c r="J901" t="str">
        <f ca="1">VLOOKUP(B901,Customer_Data!$A:$D,4,FALSE)</f>
        <v>Regular</v>
      </c>
    </row>
    <row r="902" spans="1:10" x14ac:dyDescent="0.35">
      <c r="A902" t="s">
        <v>1149</v>
      </c>
      <c r="B902" t="str">
        <f t="shared" ca="1" si="56"/>
        <v>CUST066</v>
      </c>
      <c r="C902" s="1">
        <f t="shared" ca="1" si="57"/>
        <v>45698</v>
      </c>
      <c r="D902" t="s">
        <v>1250</v>
      </c>
      <c r="E902" t="s">
        <v>1255</v>
      </c>
      <c r="F902">
        <f t="shared" ca="1" si="58"/>
        <v>8</v>
      </c>
      <c r="G902">
        <v>60</v>
      </c>
      <c r="H902">
        <f t="shared" ca="1" si="59"/>
        <v>480</v>
      </c>
      <c r="I902" t="s">
        <v>211</v>
      </c>
      <c r="J902" t="str">
        <f ca="1">VLOOKUP(B902,Customer_Data!$A:$D,4,FALSE)</f>
        <v>Regular</v>
      </c>
    </row>
    <row r="903" spans="1:10" x14ac:dyDescent="0.35">
      <c r="A903" t="s">
        <v>1150</v>
      </c>
      <c r="B903" t="str">
        <f t="shared" ca="1" si="56"/>
        <v>CUST069</v>
      </c>
      <c r="C903" s="1">
        <f t="shared" ca="1" si="57"/>
        <v>45904</v>
      </c>
      <c r="D903" t="s">
        <v>1249</v>
      </c>
      <c r="E903" t="s">
        <v>1254</v>
      </c>
      <c r="F903">
        <f t="shared" ca="1" si="58"/>
        <v>3</v>
      </c>
      <c r="G903">
        <v>25</v>
      </c>
      <c r="H903">
        <f t="shared" ca="1" si="59"/>
        <v>75</v>
      </c>
      <c r="I903" t="s">
        <v>214</v>
      </c>
      <c r="J903" t="str">
        <f ca="1">VLOOKUP(B903,Customer_Data!$A:$D,4,FALSE)</f>
        <v>Regular</v>
      </c>
    </row>
    <row r="904" spans="1:10" x14ac:dyDescent="0.35">
      <c r="A904" t="s">
        <v>1151</v>
      </c>
      <c r="B904" t="str">
        <f t="shared" ca="1" si="56"/>
        <v>CUST172</v>
      </c>
      <c r="C904" s="1">
        <f t="shared" ca="1" si="57"/>
        <v>45726</v>
      </c>
      <c r="D904" t="s">
        <v>1251</v>
      </c>
      <c r="E904" t="s">
        <v>1256</v>
      </c>
      <c r="F904">
        <f t="shared" ca="1" si="58"/>
        <v>3</v>
      </c>
      <c r="G904">
        <v>80</v>
      </c>
      <c r="H904">
        <f t="shared" ca="1" si="59"/>
        <v>240</v>
      </c>
      <c r="I904" t="s">
        <v>213</v>
      </c>
      <c r="J904" t="str">
        <f ca="1">VLOOKUP(B904,Customer_Data!$A:$D,4,FALSE)</f>
        <v>Regular</v>
      </c>
    </row>
    <row r="905" spans="1:10" x14ac:dyDescent="0.35">
      <c r="A905" t="s">
        <v>1152</v>
      </c>
      <c r="B905" t="str">
        <f t="shared" ca="1" si="56"/>
        <v>CUST185</v>
      </c>
      <c r="C905" s="1">
        <f t="shared" ca="1" si="57"/>
        <v>45681</v>
      </c>
      <c r="D905" t="s">
        <v>1253</v>
      </c>
      <c r="E905" t="s">
        <v>1258</v>
      </c>
      <c r="F905">
        <f t="shared" ca="1" si="58"/>
        <v>3</v>
      </c>
      <c r="G905">
        <v>90</v>
      </c>
      <c r="H905">
        <f t="shared" ca="1" si="59"/>
        <v>270</v>
      </c>
      <c r="I905" t="s">
        <v>214</v>
      </c>
      <c r="J905" t="str">
        <f ca="1">VLOOKUP(B905,Customer_Data!$A:$D,4,FALSE)</f>
        <v>Regular</v>
      </c>
    </row>
    <row r="906" spans="1:10" x14ac:dyDescent="0.35">
      <c r="A906" t="s">
        <v>1153</v>
      </c>
      <c r="B906" t="str">
        <f t="shared" ca="1" si="56"/>
        <v>CUST022</v>
      </c>
      <c r="C906" s="1">
        <f t="shared" ca="1" si="57"/>
        <v>45950</v>
      </c>
      <c r="D906" t="s">
        <v>1253</v>
      </c>
      <c r="E906" t="s">
        <v>1258</v>
      </c>
      <c r="F906">
        <f t="shared" ca="1" si="58"/>
        <v>4</v>
      </c>
      <c r="G906">
        <v>90</v>
      </c>
      <c r="H906">
        <f t="shared" ca="1" si="59"/>
        <v>360</v>
      </c>
      <c r="I906" t="s">
        <v>211</v>
      </c>
      <c r="J906" t="str">
        <f ca="1">VLOOKUP(B906,Customer_Data!$A:$D,4,FALSE)</f>
        <v>Regular</v>
      </c>
    </row>
    <row r="907" spans="1:10" x14ac:dyDescent="0.35">
      <c r="A907" t="s">
        <v>1154</v>
      </c>
      <c r="B907" t="str">
        <f t="shared" ca="1" si="56"/>
        <v>CUST145</v>
      </c>
      <c r="C907" s="1">
        <f t="shared" ca="1" si="57"/>
        <v>45690</v>
      </c>
      <c r="D907" t="s">
        <v>1251</v>
      </c>
      <c r="E907" t="s">
        <v>1256</v>
      </c>
      <c r="F907">
        <f t="shared" ca="1" si="58"/>
        <v>6</v>
      </c>
      <c r="G907">
        <v>80</v>
      </c>
      <c r="H907">
        <f t="shared" ca="1" si="59"/>
        <v>480</v>
      </c>
      <c r="I907" t="s">
        <v>213</v>
      </c>
      <c r="J907" t="str">
        <f ca="1">VLOOKUP(B907,Customer_Data!$A:$D,4,FALSE)</f>
        <v>Regular</v>
      </c>
    </row>
    <row r="908" spans="1:10" x14ac:dyDescent="0.35">
      <c r="A908" t="s">
        <v>1155</v>
      </c>
      <c r="B908" t="str">
        <f t="shared" ca="1" si="56"/>
        <v>CUST055</v>
      </c>
      <c r="C908" s="1">
        <f t="shared" ca="1" si="57"/>
        <v>45852</v>
      </c>
      <c r="D908" t="s">
        <v>1250</v>
      </c>
      <c r="E908" t="s">
        <v>1255</v>
      </c>
      <c r="F908">
        <f t="shared" ca="1" si="58"/>
        <v>6</v>
      </c>
      <c r="G908">
        <v>60</v>
      </c>
      <c r="H908">
        <f t="shared" ca="1" si="59"/>
        <v>360</v>
      </c>
      <c r="I908" t="s">
        <v>213</v>
      </c>
      <c r="J908" t="str">
        <f ca="1">VLOOKUP(B908,Customer_Data!$A:$D,4,FALSE)</f>
        <v>Silver</v>
      </c>
    </row>
    <row r="909" spans="1:10" x14ac:dyDescent="0.35">
      <c r="A909" t="s">
        <v>1156</v>
      </c>
      <c r="B909" t="str">
        <f t="shared" ca="1" si="56"/>
        <v>CUST070</v>
      </c>
      <c r="C909" s="1">
        <f t="shared" ca="1" si="57"/>
        <v>45673</v>
      </c>
      <c r="D909" t="s">
        <v>1249</v>
      </c>
      <c r="E909" t="s">
        <v>1254</v>
      </c>
      <c r="F909">
        <f t="shared" ca="1" si="58"/>
        <v>2</v>
      </c>
      <c r="G909">
        <v>25</v>
      </c>
      <c r="H909">
        <f t="shared" ca="1" si="59"/>
        <v>50</v>
      </c>
      <c r="I909" t="s">
        <v>211</v>
      </c>
      <c r="J909" t="str">
        <f ca="1">VLOOKUP(B909,Customer_Data!$A:$D,4,FALSE)</f>
        <v>Regular</v>
      </c>
    </row>
    <row r="910" spans="1:10" x14ac:dyDescent="0.35">
      <c r="A910" t="s">
        <v>1157</v>
      </c>
      <c r="B910" t="str">
        <f t="shared" ca="1" si="56"/>
        <v>CUST016</v>
      </c>
      <c r="C910" s="1">
        <f t="shared" ca="1" si="57"/>
        <v>45734</v>
      </c>
      <c r="D910" t="s">
        <v>1252</v>
      </c>
      <c r="E910" t="s">
        <v>1257</v>
      </c>
      <c r="F910">
        <f t="shared" ca="1" si="58"/>
        <v>2</v>
      </c>
      <c r="G910">
        <v>120</v>
      </c>
      <c r="H910">
        <f t="shared" ca="1" si="59"/>
        <v>240</v>
      </c>
      <c r="I910" t="s">
        <v>213</v>
      </c>
      <c r="J910" t="str">
        <f ca="1">VLOOKUP(B910,Customer_Data!$A:$D,4,FALSE)</f>
        <v>Silver</v>
      </c>
    </row>
    <row r="911" spans="1:10" x14ac:dyDescent="0.35">
      <c r="A911" t="s">
        <v>1158</v>
      </c>
      <c r="B911" t="str">
        <f t="shared" ca="1" si="56"/>
        <v>CUST106</v>
      </c>
      <c r="C911" s="1">
        <f t="shared" ca="1" si="57"/>
        <v>45773</v>
      </c>
      <c r="D911" t="s">
        <v>1250</v>
      </c>
      <c r="E911" t="s">
        <v>1255</v>
      </c>
      <c r="F911">
        <f t="shared" ca="1" si="58"/>
        <v>7</v>
      </c>
      <c r="G911">
        <v>60</v>
      </c>
      <c r="H911">
        <f t="shared" ca="1" si="59"/>
        <v>420</v>
      </c>
      <c r="I911" t="s">
        <v>213</v>
      </c>
      <c r="J911" t="str">
        <f ca="1">VLOOKUP(B911,Customer_Data!$A:$D,4,FALSE)</f>
        <v>Regular</v>
      </c>
    </row>
    <row r="912" spans="1:10" x14ac:dyDescent="0.35">
      <c r="A912" t="s">
        <v>1159</v>
      </c>
      <c r="B912" t="str">
        <f t="shared" ca="1" si="56"/>
        <v>CUST128</v>
      </c>
      <c r="C912" s="1">
        <f t="shared" ca="1" si="57"/>
        <v>45744</v>
      </c>
      <c r="D912" t="s">
        <v>1251</v>
      </c>
      <c r="E912" t="s">
        <v>1256</v>
      </c>
      <c r="F912">
        <f t="shared" ca="1" si="58"/>
        <v>9</v>
      </c>
      <c r="G912">
        <v>80</v>
      </c>
      <c r="H912">
        <f t="shared" ca="1" si="59"/>
        <v>720</v>
      </c>
      <c r="I912" t="s">
        <v>214</v>
      </c>
      <c r="J912" t="str">
        <f ca="1">VLOOKUP(B912,Customer_Data!$A:$D,4,FALSE)</f>
        <v>Regular</v>
      </c>
    </row>
    <row r="913" spans="1:10" x14ac:dyDescent="0.35">
      <c r="A913" t="s">
        <v>1160</v>
      </c>
      <c r="B913" t="str">
        <f t="shared" ca="1" si="56"/>
        <v>CUST140</v>
      </c>
      <c r="C913" s="1">
        <f t="shared" ca="1" si="57"/>
        <v>46015</v>
      </c>
      <c r="D913" t="s">
        <v>1253</v>
      </c>
      <c r="E913" t="s">
        <v>1258</v>
      </c>
      <c r="F913">
        <f t="shared" ca="1" si="58"/>
        <v>5</v>
      </c>
      <c r="G913">
        <v>90</v>
      </c>
      <c r="H913">
        <f t="shared" ca="1" si="59"/>
        <v>450</v>
      </c>
      <c r="I913" t="s">
        <v>211</v>
      </c>
      <c r="J913" t="str">
        <f ca="1">VLOOKUP(B913,Customer_Data!$A:$D,4,FALSE)</f>
        <v>Gold</v>
      </c>
    </row>
    <row r="914" spans="1:10" x14ac:dyDescent="0.35">
      <c r="A914" t="s">
        <v>1161</v>
      </c>
      <c r="B914" t="str">
        <f t="shared" ca="1" si="56"/>
        <v>CUST006</v>
      </c>
      <c r="C914" s="1">
        <f t="shared" ca="1" si="57"/>
        <v>45792</v>
      </c>
      <c r="D914" t="s">
        <v>1251</v>
      </c>
      <c r="E914" t="s">
        <v>1256</v>
      </c>
      <c r="F914">
        <f t="shared" ca="1" si="58"/>
        <v>1</v>
      </c>
      <c r="G914">
        <v>80</v>
      </c>
      <c r="H914">
        <f t="shared" ca="1" si="59"/>
        <v>80</v>
      </c>
      <c r="I914" t="s">
        <v>213</v>
      </c>
      <c r="J914" t="str">
        <f ca="1">VLOOKUP(B914,Customer_Data!$A:$D,4,FALSE)</f>
        <v>Regular</v>
      </c>
    </row>
    <row r="915" spans="1:10" x14ac:dyDescent="0.35">
      <c r="A915" t="s">
        <v>1162</v>
      </c>
      <c r="B915" t="str">
        <f t="shared" ca="1" si="56"/>
        <v>CUST086</v>
      </c>
      <c r="C915" s="1">
        <f t="shared" ca="1" si="57"/>
        <v>45858</v>
      </c>
      <c r="D915" t="s">
        <v>1252</v>
      </c>
      <c r="E915" t="s">
        <v>1257</v>
      </c>
      <c r="F915">
        <f t="shared" ca="1" si="58"/>
        <v>1</v>
      </c>
      <c r="G915">
        <v>120</v>
      </c>
      <c r="H915">
        <f t="shared" ca="1" si="59"/>
        <v>120</v>
      </c>
      <c r="I915" t="s">
        <v>214</v>
      </c>
      <c r="J915" t="str">
        <f ca="1">VLOOKUP(B915,Customer_Data!$A:$D,4,FALSE)</f>
        <v>Regular</v>
      </c>
    </row>
    <row r="916" spans="1:10" x14ac:dyDescent="0.35">
      <c r="A916" t="s">
        <v>1163</v>
      </c>
      <c r="B916" t="str">
        <f t="shared" ca="1" si="56"/>
        <v>CUST084</v>
      </c>
      <c r="C916" s="1">
        <f t="shared" ca="1" si="57"/>
        <v>45713</v>
      </c>
      <c r="D916" t="s">
        <v>1250</v>
      </c>
      <c r="E916" t="s">
        <v>1255</v>
      </c>
      <c r="F916">
        <f t="shared" ca="1" si="58"/>
        <v>5</v>
      </c>
      <c r="G916">
        <v>60</v>
      </c>
      <c r="H916">
        <f t="shared" ca="1" si="59"/>
        <v>300</v>
      </c>
      <c r="I916" t="s">
        <v>212</v>
      </c>
      <c r="J916" t="str">
        <f ca="1">VLOOKUP(B916,Customer_Data!$A:$D,4,FALSE)</f>
        <v>Regular</v>
      </c>
    </row>
    <row r="917" spans="1:10" x14ac:dyDescent="0.35">
      <c r="A917" t="s">
        <v>1164</v>
      </c>
      <c r="B917" t="str">
        <f t="shared" ca="1" si="56"/>
        <v>CUST160</v>
      </c>
      <c r="C917" s="1">
        <f t="shared" ca="1" si="57"/>
        <v>45698</v>
      </c>
      <c r="D917" t="s">
        <v>1249</v>
      </c>
      <c r="E917" t="s">
        <v>1254</v>
      </c>
      <c r="F917">
        <f t="shared" ca="1" si="58"/>
        <v>9</v>
      </c>
      <c r="G917">
        <v>25</v>
      </c>
      <c r="H917">
        <f t="shared" ca="1" si="59"/>
        <v>225</v>
      </c>
      <c r="I917" t="s">
        <v>214</v>
      </c>
      <c r="J917" t="str">
        <f ca="1">VLOOKUP(B917,Customer_Data!$A:$D,4,FALSE)</f>
        <v>Gold</v>
      </c>
    </row>
    <row r="918" spans="1:10" x14ac:dyDescent="0.35">
      <c r="A918" t="s">
        <v>1165</v>
      </c>
      <c r="B918" t="str">
        <f t="shared" ca="1" si="56"/>
        <v>CUST138</v>
      </c>
      <c r="C918" s="1">
        <f t="shared" ca="1" si="57"/>
        <v>45765</v>
      </c>
      <c r="D918" t="s">
        <v>1251</v>
      </c>
      <c r="E918" t="s">
        <v>1256</v>
      </c>
      <c r="F918">
        <f t="shared" ca="1" si="58"/>
        <v>2</v>
      </c>
      <c r="G918">
        <v>80</v>
      </c>
      <c r="H918">
        <f t="shared" ca="1" si="59"/>
        <v>160</v>
      </c>
      <c r="I918" t="s">
        <v>213</v>
      </c>
      <c r="J918" t="str">
        <f ca="1">VLOOKUP(B918,Customer_Data!$A:$D,4,FALSE)</f>
        <v>Gold</v>
      </c>
    </row>
    <row r="919" spans="1:10" x14ac:dyDescent="0.35">
      <c r="A919" t="s">
        <v>1166</v>
      </c>
      <c r="B919" t="str">
        <f t="shared" ca="1" si="56"/>
        <v>CUST125</v>
      </c>
      <c r="C919" s="1">
        <f t="shared" ca="1" si="57"/>
        <v>45831</v>
      </c>
      <c r="D919" t="s">
        <v>1250</v>
      </c>
      <c r="E919" t="s">
        <v>1255</v>
      </c>
      <c r="F919">
        <f t="shared" ca="1" si="58"/>
        <v>1</v>
      </c>
      <c r="G919">
        <v>60</v>
      </c>
      <c r="H919">
        <f t="shared" ca="1" si="59"/>
        <v>60</v>
      </c>
      <c r="I919" t="s">
        <v>214</v>
      </c>
      <c r="J919" t="str">
        <f ca="1">VLOOKUP(B919,Customer_Data!$A:$D,4,FALSE)</f>
        <v>Regular</v>
      </c>
    </row>
    <row r="920" spans="1:10" x14ac:dyDescent="0.35">
      <c r="A920" t="s">
        <v>1167</v>
      </c>
      <c r="B920" t="str">
        <f t="shared" ca="1" si="56"/>
        <v>CUST168</v>
      </c>
      <c r="C920" s="1">
        <f t="shared" ca="1" si="57"/>
        <v>45896</v>
      </c>
      <c r="D920" t="s">
        <v>1249</v>
      </c>
      <c r="E920" t="s">
        <v>1254</v>
      </c>
      <c r="F920">
        <f t="shared" ca="1" si="58"/>
        <v>6</v>
      </c>
      <c r="G920">
        <v>25</v>
      </c>
      <c r="H920">
        <f t="shared" ca="1" si="59"/>
        <v>150</v>
      </c>
      <c r="I920" t="s">
        <v>212</v>
      </c>
      <c r="J920" t="str">
        <f ca="1">VLOOKUP(B920,Customer_Data!$A:$D,4,FALSE)</f>
        <v>Regular</v>
      </c>
    </row>
    <row r="921" spans="1:10" x14ac:dyDescent="0.35">
      <c r="A921" t="s">
        <v>1168</v>
      </c>
      <c r="B921" t="str">
        <f t="shared" ca="1" si="56"/>
        <v>CUST195</v>
      </c>
      <c r="C921" s="1">
        <f t="shared" ca="1" si="57"/>
        <v>45924</v>
      </c>
      <c r="D921" t="s">
        <v>1249</v>
      </c>
      <c r="E921" t="s">
        <v>1254</v>
      </c>
      <c r="F921">
        <f t="shared" ca="1" si="58"/>
        <v>7</v>
      </c>
      <c r="G921">
        <v>25</v>
      </c>
      <c r="H921">
        <f t="shared" ca="1" si="59"/>
        <v>175</v>
      </c>
      <c r="I921" t="s">
        <v>214</v>
      </c>
      <c r="J921" t="str">
        <f ca="1">VLOOKUP(B921,Customer_Data!$A:$D,4,FALSE)</f>
        <v>Silver</v>
      </c>
    </row>
    <row r="922" spans="1:10" x14ac:dyDescent="0.35">
      <c r="A922" t="s">
        <v>1169</v>
      </c>
      <c r="B922" t="str">
        <f t="shared" ca="1" si="56"/>
        <v>CUST084</v>
      </c>
      <c r="C922" s="1">
        <f t="shared" ca="1" si="57"/>
        <v>45730</v>
      </c>
      <c r="D922" t="s">
        <v>1251</v>
      </c>
      <c r="E922" t="s">
        <v>1256</v>
      </c>
      <c r="F922">
        <f t="shared" ca="1" si="58"/>
        <v>3</v>
      </c>
      <c r="G922">
        <v>80</v>
      </c>
      <c r="H922">
        <f t="shared" ca="1" si="59"/>
        <v>240</v>
      </c>
      <c r="I922" t="s">
        <v>214</v>
      </c>
      <c r="J922" t="str">
        <f ca="1">VLOOKUP(B922,Customer_Data!$A:$D,4,FALSE)</f>
        <v>Regular</v>
      </c>
    </row>
    <row r="923" spans="1:10" x14ac:dyDescent="0.35">
      <c r="A923" t="s">
        <v>1170</v>
      </c>
      <c r="B923" t="str">
        <f t="shared" ca="1" si="56"/>
        <v>CUST075</v>
      </c>
      <c r="C923" s="1">
        <f t="shared" ca="1" si="57"/>
        <v>45869</v>
      </c>
      <c r="D923" t="s">
        <v>1249</v>
      </c>
      <c r="E923" t="s">
        <v>1254</v>
      </c>
      <c r="F923">
        <f t="shared" ca="1" si="58"/>
        <v>3</v>
      </c>
      <c r="G923">
        <v>25</v>
      </c>
      <c r="H923">
        <f t="shared" ca="1" si="59"/>
        <v>75</v>
      </c>
      <c r="I923" t="s">
        <v>213</v>
      </c>
      <c r="J923" t="str">
        <f ca="1">VLOOKUP(B923,Customer_Data!$A:$D,4,FALSE)</f>
        <v>Silver</v>
      </c>
    </row>
    <row r="924" spans="1:10" x14ac:dyDescent="0.35">
      <c r="A924" t="s">
        <v>1171</v>
      </c>
      <c r="B924" t="str">
        <f t="shared" ca="1" si="56"/>
        <v>CUST161</v>
      </c>
      <c r="C924" s="1">
        <f t="shared" ca="1" si="57"/>
        <v>45774</v>
      </c>
      <c r="D924" t="s">
        <v>1253</v>
      </c>
      <c r="E924" t="s">
        <v>1258</v>
      </c>
      <c r="F924">
        <f t="shared" ca="1" si="58"/>
        <v>1</v>
      </c>
      <c r="G924">
        <v>90</v>
      </c>
      <c r="H924">
        <f t="shared" ca="1" si="59"/>
        <v>90</v>
      </c>
      <c r="I924" t="s">
        <v>214</v>
      </c>
      <c r="J924" t="str">
        <f ca="1">VLOOKUP(B924,Customer_Data!$A:$D,4,FALSE)</f>
        <v>Regular</v>
      </c>
    </row>
    <row r="925" spans="1:10" x14ac:dyDescent="0.35">
      <c r="A925" t="s">
        <v>1172</v>
      </c>
      <c r="B925" t="str">
        <f t="shared" ca="1" si="56"/>
        <v>CUST038</v>
      </c>
      <c r="C925" s="1">
        <f t="shared" ca="1" si="57"/>
        <v>45773</v>
      </c>
      <c r="D925" t="s">
        <v>1252</v>
      </c>
      <c r="E925" t="s">
        <v>1257</v>
      </c>
      <c r="F925">
        <f t="shared" ca="1" si="58"/>
        <v>9</v>
      </c>
      <c r="G925">
        <v>120</v>
      </c>
      <c r="H925">
        <f t="shared" ca="1" si="59"/>
        <v>1080</v>
      </c>
      <c r="I925" t="s">
        <v>212</v>
      </c>
      <c r="J925" t="str">
        <f ca="1">VLOOKUP(B925,Customer_Data!$A:$D,4,FALSE)</f>
        <v>Gold</v>
      </c>
    </row>
    <row r="926" spans="1:10" x14ac:dyDescent="0.35">
      <c r="A926" t="s">
        <v>1173</v>
      </c>
      <c r="B926" t="str">
        <f t="shared" ca="1" si="56"/>
        <v>CUST047</v>
      </c>
      <c r="C926" s="1">
        <f t="shared" ca="1" si="57"/>
        <v>45999</v>
      </c>
      <c r="D926" t="s">
        <v>1251</v>
      </c>
      <c r="E926" t="s">
        <v>1256</v>
      </c>
      <c r="F926">
        <f t="shared" ca="1" si="58"/>
        <v>8</v>
      </c>
      <c r="G926">
        <v>80</v>
      </c>
      <c r="H926">
        <f t="shared" ca="1" si="59"/>
        <v>640</v>
      </c>
      <c r="I926" t="s">
        <v>212</v>
      </c>
      <c r="J926" t="str">
        <f ca="1">VLOOKUP(B926,Customer_Data!$A:$D,4,FALSE)</f>
        <v>Regular</v>
      </c>
    </row>
    <row r="927" spans="1:10" x14ac:dyDescent="0.35">
      <c r="A927" t="s">
        <v>1174</v>
      </c>
      <c r="B927" t="str">
        <f t="shared" ca="1" si="56"/>
        <v>CUST067</v>
      </c>
      <c r="C927" s="1">
        <f t="shared" ca="1" si="57"/>
        <v>45835</v>
      </c>
      <c r="D927" t="s">
        <v>1249</v>
      </c>
      <c r="E927" t="s">
        <v>1254</v>
      </c>
      <c r="F927">
        <f t="shared" ca="1" si="58"/>
        <v>9</v>
      </c>
      <c r="G927">
        <v>25</v>
      </c>
      <c r="H927">
        <f t="shared" ca="1" si="59"/>
        <v>225</v>
      </c>
      <c r="I927" t="s">
        <v>214</v>
      </c>
      <c r="J927" t="str">
        <f ca="1">VLOOKUP(B927,Customer_Data!$A:$D,4,FALSE)</f>
        <v>Regular</v>
      </c>
    </row>
    <row r="928" spans="1:10" x14ac:dyDescent="0.35">
      <c r="A928" t="s">
        <v>1175</v>
      </c>
      <c r="B928" t="str">
        <f t="shared" ca="1" si="56"/>
        <v>CUST135</v>
      </c>
      <c r="C928" s="1">
        <f t="shared" ca="1" si="57"/>
        <v>45937</v>
      </c>
      <c r="D928" t="s">
        <v>1250</v>
      </c>
      <c r="E928" t="s">
        <v>1255</v>
      </c>
      <c r="F928">
        <f t="shared" ca="1" si="58"/>
        <v>9</v>
      </c>
      <c r="G928">
        <v>60</v>
      </c>
      <c r="H928">
        <f t="shared" ca="1" si="59"/>
        <v>540</v>
      </c>
      <c r="I928" t="s">
        <v>214</v>
      </c>
      <c r="J928" t="str">
        <f ca="1">VLOOKUP(B928,Customer_Data!$A:$D,4,FALSE)</f>
        <v>Silver</v>
      </c>
    </row>
    <row r="929" spans="1:10" x14ac:dyDescent="0.35">
      <c r="A929" t="s">
        <v>1176</v>
      </c>
      <c r="B929" t="str">
        <f t="shared" ca="1" si="56"/>
        <v>CUST182</v>
      </c>
      <c r="C929" s="1">
        <f t="shared" ca="1" si="57"/>
        <v>45847</v>
      </c>
      <c r="D929" t="s">
        <v>1251</v>
      </c>
      <c r="E929" t="s">
        <v>1256</v>
      </c>
      <c r="F929">
        <f t="shared" ca="1" si="58"/>
        <v>2</v>
      </c>
      <c r="G929">
        <v>80</v>
      </c>
      <c r="H929">
        <f t="shared" ca="1" si="59"/>
        <v>160</v>
      </c>
      <c r="I929" t="s">
        <v>214</v>
      </c>
      <c r="J929" t="str">
        <f ca="1">VLOOKUP(B929,Customer_Data!$A:$D,4,FALSE)</f>
        <v>Regular</v>
      </c>
    </row>
    <row r="930" spans="1:10" x14ac:dyDescent="0.35">
      <c r="A930" t="s">
        <v>1177</v>
      </c>
      <c r="B930" t="str">
        <f t="shared" ca="1" si="56"/>
        <v>CUST112</v>
      </c>
      <c r="C930" s="1">
        <f t="shared" ca="1" si="57"/>
        <v>45707</v>
      </c>
      <c r="D930" t="s">
        <v>1251</v>
      </c>
      <c r="E930" t="s">
        <v>1256</v>
      </c>
      <c r="F930">
        <f t="shared" ca="1" si="58"/>
        <v>1</v>
      </c>
      <c r="G930">
        <v>80</v>
      </c>
      <c r="H930">
        <f t="shared" ca="1" si="59"/>
        <v>80</v>
      </c>
      <c r="I930" t="s">
        <v>214</v>
      </c>
      <c r="J930" t="str">
        <f ca="1">VLOOKUP(B930,Customer_Data!$A:$D,4,FALSE)</f>
        <v>Regular</v>
      </c>
    </row>
    <row r="931" spans="1:10" x14ac:dyDescent="0.35">
      <c r="A931" t="s">
        <v>1178</v>
      </c>
      <c r="B931" t="str">
        <f t="shared" ca="1" si="56"/>
        <v>CUST106</v>
      </c>
      <c r="C931" s="1">
        <f t="shared" ca="1" si="57"/>
        <v>45940</v>
      </c>
      <c r="D931" t="s">
        <v>1252</v>
      </c>
      <c r="E931" t="s">
        <v>1257</v>
      </c>
      <c r="F931">
        <f t="shared" ca="1" si="58"/>
        <v>8</v>
      </c>
      <c r="G931">
        <v>120</v>
      </c>
      <c r="H931">
        <f t="shared" ca="1" si="59"/>
        <v>960</v>
      </c>
      <c r="I931" t="s">
        <v>214</v>
      </c>
      <c r="J931" t="str">
        <f ca="1">VLOOKUP(B931,Customer_Data!$A:$D,4,FALSE)</f>
        <v>Regular</v>
      </c>
    </row>
    <row r="932" spans="1:10" x14ac:dyDescent="0.35">
      <c r="A932" t="s">
        <v>1179</v>
      </c>
      <c r="B932" t="str">
        <f t="shared" ca="1" si="56"/>
        <v>CUST023</v>
      </c>
      <c r="C932" s="1">
        <f t="shared" ca="1" si="57"/>
        <v>45973</v>
      </c>
      <c r="D932" t="s">
        <v>1253</v>
      </c>
      <c r="E932" t="s">
        <v>1258</v>
      </c>
      <c r="F932">
        <f t="shared" ca="1" si="58"/>
        <v>2</v>
      </c>
      <c r="G932">
        <v>90</v>
      </c>
      <c r="H932">
        <f t="shared" ca="1" si="59"/>
        <v>180</v>
      </c>
      <c r="I932" t="s">
        <v>214</v>
      </c>
      <c r="J932" t="str">
        <f ca="1">VLOOKUP(B932,Customer_Data!$A:$D,4,FALSE)</f>
        <v>Regular</v>
      </c>
    </row>
    <row r="933" spans="1:10" x14ac:dyDescent="0.35">
      <c r="A933" t="s">
        <v>1180</v>
      </c>
      <c r="B933" t="str">
        <f t="shared" ca="1" si="56"/>
        <v>CUST059</v>
      </c>
      <c r="C933" s="1">
        <f t="shared" ca="1" si="57"/>
        <v>45680</v>
      </c>
      <c r="D933" t="s">
        <v>1250</v>
      </c>
      <c r="E933" t="s">
        <v>1255</v>
      </c>
      <c r="F933">
        <f t="shared" ca="1" si="58"/>
        <v>6</v>
      </c>
      <c r="G933">
        <v>60</v>
      </c>
      <c r="H933">
        <f t="shared" ca="1" si="59"/>
        <v>360</v>
      </c>
      <c r="I933" t="s">
        <v>211</v>
      </c>
      <c r="J933" t="str">
        <f ca="1">VLOOKUP(B933,Customer_Data!$A:$D,4,FALSE)</f>
        <v>Gold</v>
      </c>
    </row>
    <row r="934" spans="1:10" x14ac:dyDescent="0.35">
      <c r="A934" t="s">
        <v>1181</v>
      </c>
      <c r="B934" t="str">
        <f t="shared" ca="1" si="56"/>
        <v>CUST122</v>
      </c>
      <c r="C934" s="1">
        <f t="shared" ca="1" si="57"/>
        <v>45790</v>
      </c>
      <c r="D934" t="s">
        <v>1251</v>
      </c>
      <c r="E934" t="s">
        <v>1256</v>
      </c>
      <c r="F934">
        <f t="shared" ca="1" si="58"/>
        <v>10</v>
      </c>
      <c r="G934">
        <v>80</v>
      </c>
      <c r="H934">
        <f t="shared" ca="1" si="59"/>
        <v>800</v>
      </c>
      <c r="I934" t="s">
        <v>214</v>
      </c>
      <c r="J934" t="str">
        <f ca="1">VLOOKUP(B934,Customer_Data!$A:$D,4,FALSE)</f>
        <v>Regular</v>
      </c>
    </row>
    <row r="935" spans="1:10" x14ac:dyDescent="0.35">
      <c r="A935" t="s">
        <v>1182</v>
      </c>
      <c r="B935" t="str">
        <f t="shared" ca="1" si="56"/>
        <v>CUST166</v>
      </c>
      <c r="C935" s="1">
        <f t="shared" ca="1" si="57"/>
        <v>45832</v>
      </c>
      <c r="D935" t="s">
        <v>1249</v>
      </c>
      <c r="E935" t="s">
        <v>1254</v>
      </c>
      <c r="F935">
        <f t="shared" ca="1" si="58"/>
        <v>10</v>
      </c>
      <c r="G935">
        <v>25</v>
      </c>
      <c r="H935">
        <f t="shared" ca="1" si="59"/>
        <v>250</v>
      </c>
      <c r="I935" t="s">
        <v>213</v>
      </c>
      <c r="J935" t="str">
        <f ca="1">VLOOKUP(B935,Customer_Data!$A:$D,4,FALSE)</f>
        <v>Regular</v>
      </c>
    </row>
    <row r="936" spans="1:10" x14ac:dyDescent="0.35">
      <c r="A936" t="s">
        <v>1183</v>
      </c>
      <c r="B936" t="str">
        <f t="shared" ca="1" si="56"/>
        <v>CUST179</v>
      </c>
      <c r="C936" s="1">
        <f t="shared" ca="1" si="57"/>
        <v>45818</v>
      </c>
      <c r="D936" t="s">
        <v>1251</v>
      </c>
      <c r="E936" t="s">
        <v>1256</v>
      </c>
      <c r="F936">
        <f t="shared" ca="1" si="58"/>
        <v>1</v>
      </c>
      <c r="G936">
        <v>80</v>
      </c>
      <c r="H936">
        <f t="shared" ca="1" si="59"/>
        <v>80</v>
      </c>
      <c r="I936" t="s">
        <v>213</v>
      </c>
      <c r="J936" t="str">
        <f ca="1">VLOOKUP(B936,Customer_Data!$A:$D,4,FALSE)</f>
        <v>Gold</v>
      </c>
    </row>
    <row r="937" spans="1:10" x14ac:dyDescent="0.35">
      <c r="A937" t="s">
        <v>1184</v>
      </c>
      <c r="B937" t="str">
        <f t="shared" ca="1" si="56"/>
        <v>CUST162</v>
      </c>
      <c r="C937" s="1">
        <f t="shared" ca="1" si="57"/>
        <v>45997</v>
      </c>
      <c r="D937" t="s">
        <v>1252</v>
      </c>
      <c r="E937" t="s">
        <v>1257</v>
      </c>
      <c r="F937">
        <f t="shared" ca="1" si="58"/>
        <v>10</v>
      </c>
      <c r="G937">
        <v>120</v>
      </c>
      <c r="H937">
        <f t="shared" ca="1" si="59"/>
        <v>1200</v>
      </c>
      <c r="I937" t="s">
        <v>214</v>
      </c>
      <c r="J937" t="str">
        <f ca="1">VLOOKUP(B937,Customer_Data!$A:$D,4,FALSE)</f>
        <v>Regular</v>
      </c>
    </row>
    <row r="938" spans="1:10" x14ac:dyDescent="0.35">
      <c r="A938" t="s">
        <v>1185</v>
      </c>
      <c r="B938" t="str">
        <f t="shared" ca="1" si="56"/>
        <v>CUST133</v>
      </c>
      <c r="C938" s="1">
        <f t="shared" ca="1" si="57"/>
        <v>45918</v>
      </c>
      <c r="D938" t="s">
        <v>1251</v>
      </c>
      <c r="E938" t="s">
        <v>1256</v>
      </c>
      <c r="F938">
        <f t="shared" ca="1" si="58"/>
        <v>2</v>
      </c>
      <c r="G938">
        <v>80</v>
      </c>
      <c r="H938">
        <f t="shared" ca="1" si="59"/>
        <v>160</v>
      </c>
      <c r="I938" t="s">
        <v>212</v>
      </c>
      <c r="J938" t="str">
        <f ca="1">VLOOKUP(B938,Customer_Data!$A:$D,4,FALSE)</f>
        <v>Silver</v>
      </c>
    </row>
    <row r="939" spans="1:10" x14ac:dyDescent="0.35">
      <c r="A939" t="s">
        <v>1186</v>
      </c>
      <c r="B939" t="str">
        <f t="shared" ca="1" si="56"/>
        <v>CUST033</v>
      </c>
      <c r="C939" s="1">
        <f t="shared" ca="1" si="57"/>
        <v>45924</v>
      </c>
      <c r="D939" t="s">
        <v>1252</v>
      </c>
      <c r="E939" t="s">
        <v>1257</v>
      </c>
      <c r="F939">
        <f t="shared" ca="1" si="58"/>
        <v>8</v>
      </c>
      <c r="G939">
        <v>120</v>
      </c>
      <c r="H939">
        <f t="shared" ca="1" si="59"/>
        <v>960</v>
      </c>
      <c r="I939" t="s">
        <v>213</v>
      </c>
      <c r="J939" t="str">
        <f ca="1">VLOOKUP(B939,Customer_Data!$A:$D,4,FALSE)</f>
        <v>Silver</v>
      </c>
    </row>
    <row r="940" spans="1:10" x14ac:dyDescent="0.35">
      <c r="A940" t="s">
        <v>1187</v>
      </c>
      <c r="B940" t="str">
        <f t="shared" ca="1" si="56"/>
        <v>CUST013</v>
      </c>
      <c r="C940" s="1">
        <f t="shared" ca="1" si="57"/>
        <v>45923</v>
      </c>
      <c r="D940" t="s">
        <v>1252</v>
      </c>
      <c r="E940" t="s">
        <v>1257</v>
      </c>
      <c r="F940">
        <f t="shared" ca="1" si="58"/>
        <v>4</v>
      </c>
      <c r="G940">
        <v>120</v>
      </c>
      <c r="H940">
        <f t="shared" ca="1" si="59"/>
        <v>480</v>
      </c>
      <c r="I940" t="s">
        <v>211</v>
      </c>
      <c r="J940" t="str">
        <f ca="1">VLOOKUP(B940,Customer_Data!$A:$D,4,FALSE)</f>
        <v>Silver</v>
      </c>
    </row>
    <row r="941" spans="1:10" x14ac:dyDescent="0.35">
      <c r="A941" t="s">
        <v>1188</v>
      </c>
      <c r="B941" t="str">
        <f t="shared" ca="1" si="56"/>
        <v>CUST084</v>
      </c>
      <c r="C941" s="1">
        <f t="shared" ca="1" si="57"/>
        <v>45662</v>
      </c>
      <c r="D941" t="s">
        <v>1253</v>
      </c>
      <c r="E941" t="s">
        <v>1258</v>
      </c>
      <c r="F941">
        <f t="shared" ca="1" si="58"/>
        <v>4</v>
      </c>
      <c r="G941">
        <v>90</v>
      </c>
      <c r="H941">
        <f t="shared" ca="1" si="59"/>
        <v>360</v>
      </c>
      <c r="I941" t="s">
        <v>213</v>
      </c>
      <c r="J941" t="str">
        <f ca="1">VLOOKUP(B941,Customer_Data!$A:$D,4,FALSE)</f>
        <v>Regular</v>
      </c>
    </row>
    <row r="942" spans="1:10" x14ac:dyDescent="0.35">
      <c r="A942" t="s">
        <v>1189</v>
      </c>
      <c r="B942" t="str">
        <f t="shared" ca="1" si="56"/>
        <v>CUST046</v>
      </c>
      <c r="C942" s="1">
        <f t="shared" ca="1" si="57"/>
        <v>45667</v>
      </c>
      <c r="D942" t="s">
        <v>1250</v>
      </c>
      <c r="E942" t="s">
        <v>1255</v>
      </c>
      <c r="F942">
        <f t="shared" ca="1" si="58"/>
        <v>9</v>
      </c>
      <c r="G942">
        <v>60</v>
      </c>
      <c r="H942">
        <f t="shared" ca="1" si="59"/>
        <v>540</v>
      </c>
      <c r="I942" t="s">
        <v>213</v>
      </c>
      <c r="J942" t="str">
        <f ca="1">VLOOKUP(B942,Customer_Data!$A:$D,4,FALSE)</f>
        <v>Regular</v>
      </c>
    </row>
    <row r="943" spans="1:10" x14ac:dyDescent="0.35">
      <c r="A943" t="s">
        <v>1190</v>
      </c>
      <c r="B943" t="str">
        <f t="shared" ca="1" si="56"/>
        <v>CUST196</v>
      </c>
      <c r="C943" s="1">
        <f t="shared" ca="1" si="57"/>
        <v>45664</v>
      </c>
      <c r="D943" t="s">
        <v>1253</v>
      </c>
      <c r="E943" t="s">
        <v>1258</v>
      </c>
      <c r="F943">
        <f t="shared" ca="1" si="58"/>
        <v>5</v>
      </c>
      <c r="G943">
        <v>90</v>
      </c>
      <c r="H943">
        <f t="shared" ca="1" si="59"/>
        <v>450</v>
      </c>
      <c r="I943" t="s">
        <v>214</v>
      </c>
      <c r="J943" t="str">
        <f ca="1">VLOOKUP(B943,Customer_Data!$A:$D,4,FALSE)</f>
        <v>Silver</v>
      </c>
    </row>
    <row r="944" spans="1:10" x14ac:dyDescent="0.35">
      <c r="A944" t="s">
        <v>1191</v>
      </c>
      <c r="B944" t="str">
        <f t="shared" ca="1" si="56"/>
        <v>CUST062</v>
      </c>
      <c r="C944" s="1">
        <f t="shared" ca="1" si="57"/>
        <v>45977</v>
      </c>
      <c r="D944" t="s">
        <v>1249</v>
      </c>
      <c r="E944" t="s">
        <v>1254</v>
      </c>
      <c r="F944">
        <f t="shared" ca="1" si="58"/>
        <v>6</v>
      </c>
      <c r="G944">
        <v>25</v>
      </c>
      <c r="H944">
        <f t="shared" ca="1" si="59"/>
        <v>150</v>
      </c>
      <c r="I944" t="s">
        <v>211</v>
      </c>
      <c r="J944" t="str">
        <f ca="1">VLOOKUP(B944,Customer_Data!$A:$D,4,FALSE)</f>
        <v>Regular</v>
      </c>
    </row>
    <row r="945" spans="1:10" x14ac:dyDescent="0.35">
      <c r="A945" t="s">
        <v>1192</v>
      </c>
      <c r="B945" t="str">
        <f t="shared" ca="1" si="56"/>
        <v>CUST159</v>
      </c>
      <c r="C945" s="1">
        <f t="shared" ca="1" si="57"/>
        <v>45678</v>
      </c>
      <c r="D945" t="s">
        <v>1250</v>
      </c>
      <c r="E945" t="s">
        <v>1255</v>
      </c>
      <c r="F945">
        <f t="shared" ca="1" si="58"/>
        <v>9</v>
      </c>
      <c r="G945">
        <v>60</v>
      </c>
      <c r="H945">
        <f t="shared" ca="1" si="59"/>
        <v>540</v>
      </c>
      <c r="I945" t="s">
        <v>211</v>
      </c>
      <c r="J945" t="str">
        <f ca="1">VLOOKUP(B945,Customer_Data!$A:$D,4,FALSE)</f>
        <v>Gold</v>
      </c>
    </row>
    <row r="946" spans="1:10" x14ac:dyDescent="0.35">
      <c r="A946" t="s">
        <v>1193</v>
      </c>
      <c r="B946" t="str">
        <f t="shared" ca="1" si="56"/>
        <v>CUST151</v>
      </c>
      <c r="C946" s="1">
        <f t="shared" ca="1" si="57"/>
        <v>45966</v>
      </c>
      <c r="D946" t="s">
        <v>1252</v>
      </c>
      <c r="E946" t="s">
        <v>1257</v>
      </c>
      <c r="F946">
        <f t="shared" ca="1" si="58"/>
        <v>8</v>
      </c>
      <c r="G946">
        <v>120</v>
      </c>
      <c r="H946">
        <f t="shared" ca="1" si="59"/>
        <v>960</v>
      </c>
      <c r="I946" t="s">
        <v>211</v>
      </c>
      <c r="J946" t="str">
        <f ca="1">VLOOKUP(B946,Customer_Data!$A:$D,4,FALSE)</f>
        <v>Regular</v>
      </c>
    </row>
    <row r="947" spans="1:10" x14ac:dyDescent="0.35">
      <c r="A947" t="s">
        <v>1194</v>
      </c>
      <c r="B947" t="str">
        <f t="shared" ca="1" si="56"/>
        <v>CUST065</v>
      </c>
      <c r="C947" s="1">
        <f t="shared" ca="1" si="57"/>
        <v>45984</v>
      </c>
      <c r="D947" t="s">
        <v>1251</v>
      </c>
      <c r="E947" t="s">
        <v>1256</v>
      </c>
      <c r="F947">
        <f t="shared" ca="1" si="58"/>
        <v>1</v>
      </c>
      <c r="G947">
        <v>80</v>
      </c>
      <c r="H947">
        <f t="shared" ca="1" si="59"/>
        <v>80</v>
      </c>
      <c r="I947" t="s">
        <v>211</v>
      </c>
      <c r="J947" t="str">
        <f ca="1">VLOOKUP(B947,Customer_Data!$A:$D,4,FALSE)</f>
        <v>Regular</v>
      </c>
    </row>
    <row r="948" spans="1:10" x14ac:dyDescent="0.35">
      <c r="A948" t="s">
        <v>1195</v>
      </c>
      <c r="B948" t="str">
        <f t="shared" ca="1" si="56"/>
        <v>CUST071</v>
      </c>
      <c r="C948" s="1">
        <f t="shared" ca="1" si="57"/>
        <v>45886</v>
      </c>
      <c r="D948" t="s">
        <v>1252</v>
      </c>
      <c r="E948" t="s">
        <v>1257</v>
      </c>
      <c r="F948">
        <f t="shared" ca="1" si="58"/>
        <v>2</v>
      </c>
      <c r="G948">
        <v>120</v>
      </c>
      <c r="H948">
        <f t="shared" ca="1" si="59"/>
        <v>240</v>
      </c>
      <c r="I948" t="s">
        <v>213</v>
      </c>
      <c r="J948" t="str">
        <f ca="1">VLOOKUP(B948,Customer_Data!$A:$D,4,FALSE)</f>
        <v>Regular</v>
      </c>
    </row>
    <row r="949" spans="1:10" x14ac:dyDescent="0.35">
      <c r="A949" t="s">
        <v>1196</v>
      </c>
      <c r="B949" t="str">
        <f t="shared" ca="1" si="56"/>
        <v>CUST022</v>
      </c>
      <c r="C949" s="1">
        <f t="shared" ca="1" si="57"/>
        <v>45863</v>
      </c>
      <c r="D949" t="s">
        <v>1250</v>
      </c>
      <c r="E949" t="s">
        <v>1255</v>
      </c>
      <c r="F949">
        <f t="shared" ca="1" si="58"/>
        <v>1</v>
      </c>
      <c r="G949">
        <v>60</v>
      </c>
      <c r="H949">
        <f t="shared" ca="1" si="59"/>
        <v>60</v>
      </c>
      <c r="I949" t="s">
        <v>211</v>
      </c>
      <c r="J949" t="str">
        <f ca="1">VLOOKUP(B949,Customer_Data!$A:$D,4,FALSE)</f>
        <v>Regular</v>
      </c>
    </row>
    <row r="950" spans="1:10" x14ac:dyDescent="0.35">
      <c r="A950" t="s">
        <v>1197</v>
      </c>
      <c r="B950" t="str">
        <f t="shared" ca="1" si="56"/>
        <v>CUST077</v>
      </c>
      <c r="C950" s="1">
        <f t="shared" ca="1" si="57"/>
        <v>45825</v>
      </c>
      <c r="D950" t="s">
        <v>1253</v>
      </c>
      <c r="E950" t="s">
        <v>1258</v>
      </c>
      <c r="F950">
        <f t="shared" ca="1" si="58"/>
        <v>8</v>
      </c>
      <c r="G950">
        <v>90</v>
      </c>
      <c r="H950">
        <f t="shared" ca="1" si="59"/>
        <v>720</v>
      </c>
      <c r="I950" t="s">
        <v>212</v>
      </c>
      <c r="J950" t="str">
        <f ca="1">VLOOKUP(B950,Customer_Data!$A:$D,4,FALSE)</f>
        <v>Silver</v>
      </c>
    </row>
    <row r="951" spans="1:10" x14ac:dyDescent="0.35">
      <c r="A951" t="s">
        <v>1198</v>
      </c>
      <c r="B951" t="str">
        <f t="shared" ca="1" si="56"/>
        <v>CUST172</v>
      </c>
      <c r="C951" s="1">
        <f t="shared" ca="1" si="57"/>
        <v>45880</v>
      </c>
      <c r="D951" t="s">
        <v>1252</v>
      </c>
      <c r="E951" t="s">
        <v>1257</v>
      </c>
      <c r="F951">
        <f t="shared" ca="1" si="58"/>
        <v>9</v>
      </c>
      <c r="G951">
        <v>120</v>
      </c>
      <c r="H951">
        <f t="shared" ca="1" si="59"/>
        <v>1080</v>
      </c>
      <c r="I951" t="s">
        <v>212</v>
      </c>
      <c r="J951" t="str">
        <f ca="1">VLOOKUP(B951,Customer_Data!$A:$D,4,FALSE)</f>
        <v>Regular</v>
      </c>
    </row>
    <row r="952" spans="1:10" x14ac:dyDescent="0.35">
      <c r="A952" t="s">
        <v>1199</v>
      </c>
      <c r="B952" t="str">
        <f t="shared" ca="1" si="56"/>
        <v>CUST152</v>
      </c>
      <c r="C952" s="1">
        <f t="shared" ca="1" si="57"/>
        <v>45734</v>
      </c>
      <c r="D952" t="s">
        <v>1249</v>
      </c>
      <c r="E952" t="s">
        <v>1254</v>
      </c>
      <c r="F952">
        <f t="shared" ca="1" si="58"/>
        <v>10</v>
      </c>
      <c r="G952">
        <v>25</v>
      </c>
      <c r="H952">
        <f t="shared" ca="1" si="59"/>
        <v>250</v>
      </c>
      <c r="I952" t="s">
        <v>214</v>
      </c>
      <c r="J952" t="str">
        <f ca="1">VLOOKUP(B952,Customer_Data!$A:$D,4,FALSE)</f>
        <v>Regular</v>
      </c>
    </row>
    <row r="953" spans="1:10" x14ac:dyDescent="0.35">
      <c r="A953" t="s">
        <v>1200</v>
      </c>
      <c r="B953" t="str">
        <f t="shared" ca="1" si="56"/>
        <v>CUST189</v>
      </c>
      <c r="C953" s="1">
        <f t="shared" ca="1" si="57"/>
        <v>45919</v>
      </c>
      <c r="D953" t="s">
        <v>1252</v>
      </c>
      <c r="E953" t="s">
        <v>1257</v>
      </c>
      <c r="F953">
        <f t="shared" ca="1" si="58"/>
        <v>4</v>
      </c>
      <c r="G953">
        <v>120</v>
      </c>
      <c r="H953">
        <f t="shared" ca="1" si="59"/>
        <v>480</v>
      </c>
      <c r="I953" t="s">
        <v>211</v>
      </c>
      <c r="J953" t="str">
        <f ca="1">VLOOKUP(B953,Customer_Data!$A:$D,4,FALSE)</f>
        <v>Regular</v>
      </c>
    </row>
    <row r="954" spans="1:10" x14ac:dyDescent="0.35">
      <c r="A954" t="s">
        <v>1201</v>
      </c>
      <c r="B954" t="str">
        <f t="shared" ca="1" si="56"/>
        <v>CUST106</v>
      </c>
      <c r="C954" s="1">
        <f t="shared" ca="1" si="57"/>
        <v>45926</v>
      </c>
      <c r="D954" t="s">
        <v>1251</v>
      </c>
      <c r="E954" t="s">
        <v>1256</v>
      </c>
      <c r="F954">
        <f t="shared" ca="1" si="58"/>
        <v>5</v>
      </c>
      <c r="G954">
        <v>80</v>
      </c>
      <c r="H954">
        <f t="shared" ca="1" si="59"/>
        <v>400</v>
      </c>
      <c r="I954" t="s">
        <v>211</v>
      </c>
      <c r="J954" t="str">
        <f ca="1">VLOOKUP(B954,Customer_Data!$A:$D,4,FALSE)</f>
        <v>Regular</v>
      </c>
    </row>
    <row r="955" spans="1:10" x14ac:dyDescent="0.35">
      <c r="A955" t="s">
        <v>1202</v>
      </c>
      <c r="B955" t="str">
        <f t="shared" ca="1" si="56"/>
        <v>CUST066</v>
      </c>
      <c r="C955" s="1">
        <f t="shared" ca="1" si="57"/>
        <v>45708</v>
      </c>
      <c r="D955" t="s">
        <v>1253</v>
      </c>
      <c r="E955" t="s">
        <v>1258</v>
      </c>
      <c r="F955">
        <f t="shared" ca="1" si="58"/>
        <v>4</v>
      </c>
      <c r="G955">
        <v>90</v>
      </c>
      <c r="H955">
        <f t="shared" ca="1" si="59"/>
        <v>360</v>
      </c>
      <c r="I955" t="s">
        <v>214</v>
      </c>
      <c r="J955" t="str">
        <f ca="1">VLOOKUP(B955,Customer_Data!$A:$D,4,FALSE)</f>
        <v>Regular</v>
      </c>
    </row>
    <row r="956" spans="1:10" x14ac:dyDescent="0.35">
      <c r="A956" t="s">
        <v>1203</v>
      </c>
      <c r="B956" t="str">
        <f t="shared" ca="1" si="56"/>
        <v>CUST043</v>
      </c>
      <c r="C956" s="1">
        <f t="shared" ca="1" si="57"/>
        <v>46008</v>
      </c>
      <c r="D956" t="s">
        <v>1252</v>
      </c>
      <c r="E956" t="s">
        <v>1257</v>
      </c>
      <c r="F956">
        <f t="shared" ca="1" si="58"/>
        <v>3</v>
      </c>
      <c r="G956">
        <v>120</v>
      </c>
      <c r="H956">
        <f t="shared" ca="1" si="59"/>
        <v>360</v>
      </c>
      <c r="I956" t="s">
        <v>214</v>
      </c>
      <c r="J956" t="str">
        <f ca="1">VLOOKUP(B956,Customer_Data!$A:$D,4,FALSE)</f>
        <v>Regular</v>
      </c>
    </row>
    <row r="957" spans="1:10" x14ac:dyDescent="0.35">
      <c r="A957" t="s">
        <v>1204</v>
      </c>
      <c r="B957" t="str">
        <f t="shared" ca="1" si="56"/>
        <v>CUST147</v>
      </c>
      <c r="C957" s="1">
        <f t="shared" ca="1" si="57"/>
        <v>45991</v>
      </c>
      <c r="D957" t="s">
        <v>1249</v>
      </c>
      <c r="E957" t="s">
        <v>1254</v>
      </c>
      <c r="F957">
        <f t="shared" ca="1" si="58"/>
        <v>5</v>
      </c>
      <c r="G957">
        <v>25</v>
      </c>
      <c r="H957">
        <f t="shared" ca="1" si="59"/>
        <v>125</v>
      </c>
      <c r="I957" t="s">
        <v>214</v>
      </c>
      <c r="J957" t="str">
        <f ca="1">VLOOKUP(B957,Customer_Data!$A:$D,4,FALSE)</f>
        <v>Regular</v>
      </c>
    </row>
    <row r="958" spans="1:10" x14ac:dyDescent="0.35">
      <c r="A958" t="s">
        <v>1205</v>
      </c>
      <c r="B958" t="str">
        <f t="shared" ca="1" si="56"/>
        <v>CUST116</v>
      </c>
      <c r="C958" s="1">
        <f t="shared" ca="1" si="57"/>
        <v>45721</v>
      </c>
      <c r="D958" t="s">
        <v>1249</v>
      </c>
      <c r="E958" t="s">
        <v>1254</v>
      </c>
      <c r="F958">
        <f t="shared" ca="1" si="58"/>
        <v>9</v>
      </c>
      <c r="G958">
        <v>25</v>
      </c>
      <c r="H958">
        <f t="shared" ca="1" si="59"/>
        <v>225</v>
      </c>
      <c r="I958" t="s">
        <v>212</v>
      </c>
      <c r="J958" t="str">
        <f ca="1">VLOOKUP(B958,Customer_Data!$A:$D,4,FALSE)</f>
        <v>Silver</v>
      </c>
    </row>
    <row r="959" spans="1:10" x14ac:dyDescent="0.35">
      <c r="A959" t="s">
        <v>1206</v>
      </c>
      <c r="B959" t="str">
        <f t="shared" ca="1" si="56"/>
        <v>CUST165</v>
      </c>
      <c r="C959" s="1">
        <f t="shared" ca="1" si="57"/>
        <v>45703</v>
      </c>
      <c r="D959" t="s">
        <v>1252</v>
      </c>
      <c r="E959" t="s">
        <v>1257</v>
      </c>
      <c r="F959">
        <f t="shared" ca="1" si="58"/>
        <v>10</v>
      </c>
      <c r="G959">
        <v>120</v>
      </c>
      <c r="H959">
        <f t="shared" ca="1" si="59"/>
        <v>1200</v>
      </c>
      <c r="I959" t="s">
        <v>214</v>
      </c>
      <c r="J959" t="str">
        <f ca="1">VLOOKUP(B959,Customer_Data!$A:$D,4,FALSE)</f>
        <v>Regular</v>
      </c>
    </row>
    <row r="960" spans="1:10" x14ac:dyDescent="0.35">
      <c r="A960" t="s">
        <v>1207</v>
      </c>
      <c r="B960" t="str">
        <f t="shared" ca="1" si="56"/>
        <v>CUST145</v>
      </c>
      <c r="C960" s="1">
        <f t="shared" ca="1" si="57"/>
        <v>45717</v>
      </c>
      <c r="D960" t="s">
        <v>1251</v>
      </c>
      <c r="E960" t="s">
        <v>1256</v>
      </c>
      <c r="F960">
        <f t="shared" ca="1" si="58"/>
        <v>10</v>
      </c>
      <c r="G960">
        <v>80</v>
      </c>
      <c r="H960">
        <f t="shared" ca="1" si="59"/>
        <v>800</v>
      </c>
      <c r="I960" t="s">
        <v>214</v>
      </c>
      <c r="J960" t="str">
        <f ca="1">VLOOKUP(B960,Customer_Data!$A:$D,4,FALSE)</f>
        <v>Regular</v>
      </c>
    </row>
    <row r="961" spans="1:10" x14ac:dyDescent="0.35">
      <c r="A961" t="s">
        <v>1208</v>
      </c>
      <c r="B961" t="str">
        <f t="shared" ca="1" si="56"/>
        <v>CUST077</v>
      </c>
      <c r="C961" s="1">
        <f t="shared" ca="1" si="57"/>
        <v>45950</v>
      </c>
      <c r="D961" t="s">
        <v>1252</v>
      </c>
      <c r="E961" t="s">
        <v>1257</v>
      </c>
      <c r="F961">
        <f t="shared" ca="1" si="58"/>
        <v>4</v>
      </c>
      <c r="G961">
        <v>120</v>
      </c>
      <c r="H961">
        <f t="shared" ca="1" si="59"/>
        <v>480</v>
      </c>
      <c r="I961" t="s">
        <v>213</v>
      </c>
      <c r="J961" t="str">
        <f ca="1">VLOOKUP(B961,Customer_Data!$A:$D,4,FALSE)</f>
        <v>Silver</v>
      </c>
    </row>
    <row r="962" spans="1:10" x14ac:dyDescent="0.35">
      <c r="A962" t="s">
        <v>1209</v>
      </c>
      <c r="B962" t="str">
        <f t="shared" ca="1" si="56"/>
        <v>CUST087</v>
      </c>
      <c r="C962" s="1">
        <f t="shared" ca="1" si="57"/>
        <v>45744</v>
      </c>
      <c r="D962" t="s">
        <v>1249</v>
      </c>
      <c r="E962" t="s">
        <v>1254</v>
      </c>
      <c r="F962">
        <f t="shared" ca="1" si="58"/>
        <v>5</v>
      </c>
      <c r="G962">
        <v>25</v>
      </c>
      <c r="H962">
        <f t="shared" ca="1" si="59"/>
        <v>125</v>
      </c>
      <c r="I962" t="s">
        <v>212</v>
      </c>
      <c r="J962" t="str">
        <f ca="1">VLOOKUP(B962,Customer_Data!$A:$D,4,FALSE)</f>
        <v>Regular</v>
      </c>
    </row>
    <row r="963" spans="1:10" x14ac:dyDescent="0.35">
      <c r="A963" t="s">
        <v>1210</v>
      </c>
      <c r="B963" t="str">
        <f t="shared" ref="B963:B1001" ca="1" si="60">"CUST"&amp;TEXT(RANDBETWEEN(1,200),"000")</f>
        <v>CUST132</v>
      </c>
      <c r="C963" s="1">
        <f t="shared" ref="C963:C1001" ca="1" si="61">DATE(2025,1,1)+RANDBETWEEN(0,364)</f>
        <v>45958</v>
      </c>
      <c r="D963" t="s">
        <v>1250</v>
      </c>
      <c r="E963" t="s">
        <v>1255</v>
      </c>
      <c r="F963">
        <f t="shared" ref="F963:F1001" ca="1" si="62">RANDBETWEEN(1,10)</f>
        <v>5</v>
      </c>
      <c r="G963">
        <v>60</v>
      </c>
      <c r="H963">
        <f t="shared" ref="H963:H1001" ca="1" si="63">F963*G963</f>
        <v>300</v>
      </c>
      <c r="I963" t="s">
        <v>212</v>
      </c>
      <c r="J963" t="str">
        <f ca="1">VLOOKUP(B963,Customer_Data!$A:$D,4,FALSE)</f>
        <v>Regular</v>
      </c>
    </row>
    <row r="964" spans="1:10" x14ac:dyDescent="0.35">
      <c r="A964" t="s">
        <v>1211</v>
      </c>
      <c r="B964" t="str">
        <f t="shared" ca="1" si="60"/>
        <v>CUST096</v>
      </c>
      <c r="C964" s="1">
        <f t="shared" ca="1" si="61"/>
        <v>45660</v>
      </c>
      <c r="D964" t="s">
        <v>1251</v>
      </c>
      <c r="E964" t="s">
        <v>1256</v>
      </c>
      <c r="F964">
        <f t="shared" ca="1" si="62"/>
        <v>5</v>
      </c>
      <c r="G964">
        <v>80</v>
      </c>
      <c r="H964">
        <f t="shared" ca="1" si="63"/>
        <v>400</v>
      </c>
      <c r="I964" t="s">
        <v>213</v>
      </c>
      <c r="J964" t="str">
        <f ca="1">VLOOKUP(B964,Customer_Data!$A:$D,4,FALSE)</f>
        <v>Silver</v>
      </c>
    </row>
    <row r="965" spans="1:10" x14ac:dyDescent="0.35">
      <c r="A965" t="s">
        <v>1212</v>
      </c>
      <c r="B965" t="str">
        <f t="shared" ca="1" si="60"/>
        <v>CUST136</v>
      </c>
      <c r="C965" s="1">
        <f t="shared" ca="1" si="61"/>
        <v>45702</v>
      </c>
      <c r="D965" t="s">
        <v>1251</v>
      </c>
      <c r="E965" t="s">
        <v>1256</v>
      </c>
      <c r="F965">
        <f t="shared" ca="1" si="62"/>
        <v>6</v>
      </c>
      <c r="G965">
        <v>80</v>
      </c>
      <c r="H965">
        <f t="shared" ca="1" si="63"/>
        <v>480</v>
      </c>
      <c r="I965" t="s">
        <v>212</v>
      </c>
      <c r="J965" t="str">
        <f ca="1">VLOOKUP(B965,Customer_Data!$A:$D,4,FALSE)</f>
        <v>Silver</v>
      </c>
    </row>
    <row r="966" spans="1:10" x14ac:dyDescent="0.35">
      <c r="A966" t="s">
        <v>1213</v>
      </c>
      <c r="B966" t="str">
        <f t="shared" ca="1" si="60"/>
        <v>CUST154</v>
      </c>
      <c r="C966" s="1">
        <f t="shared" ca="1" si="61"/>
        <v>45810</v>
      </c>
      <c r="D966" t="s">
        <v>1252</v>
      </c>
      <c r="E966" t="s">
        <v>1257</v>
      </c>
      <c r="F966">
        <f t="shared" ca="1" si="62"/>
        <v>4</v>
      </c>
      <c r="G966">
        <v>120</v>
      </c>
      <c r="H966">
        <f t="shared" ca="1" si="63"/>
        <v>480</v>
      </c>
      <c r="I966" t="s">
        <v>213</v>
      </c>
      <c r="J966" t="str">
        <f ca="1">VLOOKUP(B966,Customer_Data!$A:$D,4,FALSE)</f>
        <v>Silver</v>
      </c>
    </row>
    <row r="967" spans="1:10" x14ac:dyDescent="0.35">
      <c r="A967" t="s">
        <v>1214</v>
      </c>
      <c r="B967" t="str">
        <f t="shared" ca="1" si="60"/>
        <v>CUST156</v>
      </c>
      <c r="C967" s="1">
        <f t="shared" ca="1" si="61"/>
        <v>45809</v>
      </c>
      <c r="D967" t="s">
        <v>1250</v>
      </c>
      <c r="E967" t="s">
        <v>1255</v>
      </c>
      <c r="F967">
        <f t="shared" ca="1" si="62"/>
        <v>7</v>
      </c>
      <c r="G967">
        <v>60</v>
      </c>
      <c r="H967">
        <f t="shared" ca="1" si="63"/>
        <v>420</v>
      </c>
      <c r="I967" t="s">
        <v>213</v>
      </c>
      <c r="J967" t="str">
        <f ca="1">VLOOKUP(B967,Customer_Data!$A:$D,4,FALSE)</f>
        <v>Silver</v>
      </c>
    </row>
    <row r="968" spans="1:10" x14ac:dyDescent="0.35">
      <c r="A968" t="s">
        <v>1215</v>
      </c>
      <c r="B968" t="str">
        <f t="shared" ca="1" si="60"/>
        <v>CUST025</v>
      </c>
      <c r="C968" s="1">
        <f t="shared" ca="1" si="61"/>
        <v>45754</v>
      </c>
      <c r="D968" t="s">
        <v>1249</v>
      </c>
      <c r="E968" t="s">
        <v>1254</v>
      </c>
      <c r="F968">
        <f t="shared" ca="1" si="62"/>
        <v>1</v>
      </c>
      <c r="G968">
        <v>25</v>
      </c>
      <c r="H968">
        <f t="shared" ca="1" si="63"/>
        <v>25</v>
      </c>
      <c r="I968" t="s">
        <v>213</v>
      </c>
      <c r="J968" t="str">
        <f ca="1">VLOOKUP(B968,Customer_Data!$A:$D,4,FALSE)</f>
        <v>Regular</v>
      </c>
    </row>
    <row r="969" spans="1:10" x14ac:dyDescent="0.35">
      <c r="A969" t="s">
        <v>1216</v>
      </c>
      <c r="B969" t="str">
        <f t="shared" ca="1" si="60"/>
        <v>CUST006</v>
      </c>
      <c r="C969" s="1">
        <f t="shared" ca="1" si="61"/>
        <v>45919</v>
      </c>
      <c r="D969" t="s">
        <v>1250</v>
      </c>
      <c r="E969" t="s">
        <v>1255</v>
      </c>
      <c r="F969">
        <f t="shared" ca="1" si="62"/>
        <v>9</v>
      </c>
      <c r="G969">
        <v>60</v>
      </c>
      <c r="H969">
        <f t="shared" ca="1" si="63"/>
        <v>540</v>
      </c>
      <c r="I969" t="s">
        <v>213</v>
      </c>
      <c r="J969" t="str">
        <f ca="1">VLOOKUP(B969,Customer_Data!$A:$D,4,FALSE)</f>
        <v>Regular</v>
      </c>
    </row>
    <row r="970" spans="1:10" x14ac:dyDescent="0.35">
      <c r="A970" t="s">
        <v>1217</v>
      </c>
      <c r="B970" t="str">
        <f t="shared" ca="1" si="60"/>
        <v>CUST130</v>
      </c>
      <c r="C970" s="1">
        <f t="shared" ca="1" si="61"/>
        <v>45935</v>
      </c>
      <c r="D970" t="s">
        <v>1252</v>
      </c>
      <c r="E970" t="s">
        <v>1257</v>
      </c>
      <c r="F970">
        <f t="shared" ca="1" si="62"/>
        <v>3</v>
      </c>
      <c r="G970">
        <v>120</v>
      </c>
      <c r="H970">
        <f t="shared" ca="1" si="63"/>
        <v>360</v>
      </c>
      <c r="I970" t="s">
        <v>213</v>
      </c>
      <c r="J970" t="str">
        <f ca="1">VLOOKUP(B970,Customer_Data!$A:$D,4,FALSE)</f>
        <v>Regular</v>
      </c>
    </row>
    <row r="971" spans="1:10" x14ac:dyDescent="0.35">
      <c r="A971" t="s">
        <v>1218</v>
      </c>
      <c r="B971" t="str">
        <f t="shared" ca="1" si="60"/>
        <v>CUST189</v>
      </c>
      <c r="C971" s="1">
        <f t="shared" ca="1" si="61"/>
        <v>45919</v>
      </c>
      <c r="D971" t="s">
        <v>1251</v>
      </c>
      <c r="E971" t="s">
        <v>1256</v>
      </c>
      <c r="F971">
        <f t="shared" ca="1" si="62"/>
        <v>5</v>
      </c>
      <c r="G971">
        <v>80</v>
      </c>
      <c r="H971">
        <f t="shared" ca="1" si="63"/>
        <v>400</v>
      </c>
      <c r="I971" t="s">
        <v>214</v>
      </c>
      <c r="J971" t="str">
        <f ca="1">VLOOKUP(B971,Customer_Data!$A:$D,4,FALSE)</f>
        <v>Regular</v>
      </c>
    </row>
    <row r="972" spans="1:10" x14ac:dyDescent="0.35">
      <c r="A972" t="s">
        <v>1219</v>
      </c>
      <c r="B972" t="str">
        <f t="shared" ca="1" si="60"/>
        <v>CUST180</v>
      </c>
      <c r="C972" s="1">
        <f t="shared" ca="1" si="61"/>
        <v>45992</v>
      </c>
      <c r="D972" t="s">
        <v>1251</v>
      </c>
      <c r="E972" t="s">
        <v>1256</v>
      </c>
      <c r="F972">
        <f t="shared" ca="1" si="62"/>
        <v>2</v>
      </c>
      <c r="G972">
        <v>80</v>
      </c>
      <c r="H972">
        <f t="shared" ca="1" si="63"/>
        <v>160</v>
      </c>
      <c r="I972" t="s">
        <v>211</v>
      </c>
      <c r="J972" t="str">
        <f ca="1">VLOOKUP(B972,Customer_Data!$A:$D,4,FALSE)</f>
        <v>Gold</v>
      </c>
    </row>
    <row r="973" spans="1:10" x14ac:dyDescent="0.35">
      <c r="A973" t="s">
        <v>1220</v>
      </c>
      <c r="B973" t="str">
        <f t="shared" ca="1" si="60"/>
        <v>CUST027</v>
      </c>
      <c r="C973" s="1">
        <f t="shared" ca="1" si="61"/>
        <v>45878</v>
      </c>
      <c r="D973" t="s">
        <v>1252</v>
      </c>
      <c r="E973" t="s">
        <v>1257</v>
      </c>
      <c r="F973">
        <f t="shared" ca="1" si="62"/>
        <v>8</v>
      </c>
      <c r="G973">
        <v>120</v>
      </c>
      <c r="H973">
        <f t="shared" ca="1" si="63"/>
        <v>960</v>
      </c>
      <c r="I973" t="s">
        <v>214</v>
      </c>
      <c r="J973" t="str">
        <f ca="1">VLOOKUP(B973,Customer_Data!$A:$D,4,FALSE)</f>
        <v>Regular</v>
      </c>
    </row>
    <row r="974" spans="1:10" x14ac:dyDescent="0.35">
      <c r="A974" t="s">
        <v>1221</v>
      </c>
      <c r="B974" t="str">
        <f t="shared" ca="1" si="60"/>
        <v>CUST194</v>
      </c>
      <c r="C974" s="1">
        <f t="shared" ca="1" si="61"/>
        <v>45720</v>
      </c>
      <c r="D974" t="s">
        <v>1250</v>
      </c>
      <c r="E974" t="s">
        <v>1255</v>
      </c>
      <c r="F974">
        <f t="shared" ca="1" si="62"/>
        <v>4</v>
      </c>
      <c r="G974">
        <v>60</v>
      </c>
      <c r="H974">
        <f t="shared" ca="1" si="63"/>
        <v>240</v>
      </c>
      <c r="I974" t="s">
        <v>213</v>
      </c>
      <c r="J974" t="str">
        <f ca="1">VLOOKUP(B974,Customer_Data!$A:$D,4,FALSE)</f>
        <v>Silver</v>
      </c>
    </row>
    <row r="975" spans="1:10" x14ac:dyDescent="0.35">
      <c r="A975" t="s">
        <v>1222</v>
      </c>
      <c r="B975" t="str">
        <f t="shared" ca="1" si="60"/>
        <v>CUST120</v>
      </c>
      <c r="C975" s="1">
        <f t="shared" ca="1" si="61"/>
        <v>46004</v>
      </c>
      <c r="D975" t="s">
        <v>1252</v>
      </c>
      <c r="E975" t="s">
        <v>1257</v>
      </c>
      <c r="F975">
        <f t="shared" ca="1" si="62"/>
        <v>8</v>
      </c>
      <c r="G975">
        <v>120</v>
      </c>
      <c r="H975">
        <f t="shared" ca="1" si="63"/>
        <v>960</v>
      </c>
      <c r="I975" t="s">
        <v>211</v>
      </c>
      <c r="J975" t="str">
        <f ca="1">VLOOKUP(B975,Customer_Data!$A:$D,4,FALSE)</f>
        <v>Gold</v>
      </c>
    </row>
    <row r="976" spans="1:10" x14ac:dyDescent="0.35">
      <c r="A976" t="s">
        <v>1223</v>
      </c>
      <c r="B976" t="str">
        <f t="shared" ca="1" si="60"/>
        <v>CUST125</v>
      </c>
      <c r="C976" s="1">
        <f t="shared" ca="1" si="61"/>
        <v>45923</v>
      </c>
      <c r="D976" t="s">
        <v>1249</v>
      </c>
      <c r="E976" t="s">
        <v>1254</v>
      </c>
      <c r="F976">
        <f t="shared" ca="1" si="62"/>
        <v>7</v>
      </c>
      <c r="G976">
        <v>25</v>
      </c>
      <c r="H976">
        <f t="shared" ca="1" si="63"/>
        <v>175</v>
      </c>
      <c r="I976" t="s">
        <v>212</v>
      </c>
      <c r="J976" t="str">
        <f ca="1">VLOOKUP(B976,Customer_Data!$A:$D,4,FALSE)</f>
        <v>Regular</v>
      </c>
    </row>
    <row r="977" spans="1:10" x14ac:dyDescent="0.35">
      <c r="A977" t="s">
        <v>1224</v>
      </c>
      <c r="B977" t="str">
        <f t="shared" ca="1" si="60"/>
        <v>CUST050</v>
      </c>
      <c r="C977" s="1">
        <f t="shared" ca="1" si="61"/>
        <v>45789</v>
      </c>
      <c r="D977" t="s">
        <v>1250</v>
      </c>
      <c r="E977" t="s">
        <v>1255</v>
      </c>
      <c r="F977">
        <f t="shared" ca="1" si="62"/>
        <v>8</v>
      </c>
      <c r="G977">
        <v>60</v>
      </c>
      <c r="H977">
        <f t="shared" ca="1" si="63"/>
        <v>480</v>
      </c>
      <c r="I977" t="s">
        <v>212</v>
      </c>
      <c r="J977" t="str">
        <f ca="1">VLOOKUP(B977,Customer_Data!$A:$D,4,FALSE)</f>
        <v>Regular</v>
      </c>
    </row>
    <row r="978" spans="1:10" x14ac:dyDescent="0.35">
      <c r="A978" t="s">
        <v>1225</v>
      </c>
      <c r="B978" t="str">
        <f t="shared" ca="1" si="60"/>
        <v>CUST138</v>
      </c>
      <c r="C978" s="1">
        <f t="shared" ca="1" si="61"/>
        <v>45778</v>
      </c>
      <c r="D978" t="s">
        <v>1250</v>
      </c>
      <c r="E978" t="s">
        <v>1255</v>
      </c>
      <c r="F978">
        <f t="shared" ca="1" si="62"/>
        <v>8</v>
      </c>
      <c r="G978">
        <v>60</v>
      </c>
      <c r="H978">
        <f t="shared" ca="1" si="63"/>
        <v>480</v>
      </c>
      <c r="I978" t="s">
        <v>212</v>
      </c>
      <c r="J978" t="str">
        <f ca="1">VLOOKUP(B978,Customer_Data!$A:$D,4,FALSE)</f>
        <v>Gold</v>
      </c>
    </row>
    <row r="979" spans="1:10" x14ac:dyDescent="0.35">
      <c r="A979" t="s">
        <v>1226</v>
      </c>
      <c r="B979" t="str">
        <f t="shared" ca="1" si="60"/>
        <v>CUST193</v>
      </c>
      <c r="C979" s="1">
        <f t="shared" ca="1" si="61"/>
        <v>45907</v>
      </c>
      <c r="D979" t="s">
        <v>1249</v>
      </c>
      <c r="E979" t="s">
        <v>1254</v>
      </c>
      <c r="F979">
        <f t="shared" ca="1" si="62"/>
        <v>1</v>
      </c>
      <c r="G979">
        <v>25</v>
      </c>
      <c r="H979">
        <f t="shared" ca="1" si="63"/>
        <v>25</v>
      </c>
      <c r="I979" t="s">
        <v>211</v>
      </c>
      <c r="J979" t="str">
        <f ca="1">VLOOKUP(B979,Customer_Data!$A:$D,4,FALSE)</f>
        <v>Silver</v>
      </c>
    </row>
    <row r="980" spans="1:10" x14ac:dyDescent="0.35">
      <c r="A980" t="s">
        <v>1227</v>
      </c>
      <c r="B980" t="str">
        <f t="shared" ca="1" si="60"/>
        <v>CUST118</v>
      </c>
      <c r="C980" s="1">
        <f t="shared" ca="1" si="61"/>
        <v>45859</v>
      </c>
      <c r="D980" t="s">
        <v>1250</v>
      </c>
      <c r="E980" t="s">
        <v>1255</v>
      </c>
      <c r="F980">
        <f t="shared" ca="1" si="62"/>
        <v>10</v>
      </c>
      <c r="G980">
        <v>60</v>
      </c>
      <c r="H980">
        <f t="shared" ca="1" si="63"/>
        <v>600</v>
      </c>
      <c r="I980" t="s">
        <v>213</v>
      </c>
      <c r="J980" t="str">
        <f ca="1">VLOOKUP(B980,Customer_Data!$A:$D,4,FALSE)</f>
        <v>Gold</v>
      </c>
    </row>
    <row r="981" spans="1:10" x14ac:dyDescent="0.35">
      <c r="A981" t="s">
        <v>1228</v>
      </c>
      <c r="B981" t="str">
        <f t="shared" ca="1" si="60"/>
        <v>CUST102</v>
      </c>
      <c r="C981" s="1">
        <f t="shared" ca="1" si="61"/>
        <v>45782</v>
      </c>
      <c r="D981" t="s">
        <v>1252</v>
      </c>
      <c r="E981" t="s">
        <v>1257</v>
      </c>
      <c r="F981">
        <f t="shared" ca="1" si="62"/>
        <v>8</v>
      </c>
      <c r="G981">
        <v>120</v>
      </c>
      <c r="H981">
        <f t="shared" ca="1" si="63"/>
        <v>960</v>
      </c>
      <c r="I981" t="s">
        <v>211</v>
      </c>
      <c r="J981" t="str">
        <f ca="1">VLOOKUP(B981,Customer_Data!$A:$D,4,FALSE)</f>
        <v>Regular</v>
      </c>
    </row>
    <row r="982" spans="1:10" x14ac:dyDescent="0.35">
      <c r="A982" t="s">
        <v>1229</v>
      </c>
      <c r="B982" t="str">
        <f t="shared" ca="1" si="60"/>
        <v>CUST172</v>
      </c>
      <c r="C982" s="1">
        <f t="shared" ca="1" si="61"/>
        <v>45681</v>
      </c>
      <c r="D982" t="s">
        <v>1253</v>
      </c>
      <c r="E982" t="s">
        <v>1258</v>
      </c>
      <c r="F982">
        <f t="shared" ca="1" si="62"/>
        <v>4</v>
      </c>
      <c r="G982">
        <v>90</v>
      </c>
      <c r="H982">
        <f t="shared" ca="1" si="63"/>
        <v>360</v>
      </c>
      <c r="I982" t="s">
        <v>213</v>
      </c>
      <c r="J982" t="str">
        <f ca="1">VLOOKUP(B982,Customer_Data!$A:$D,4,FALSE)</f>
        <v>Regular</v>
      </c>
    </row>
    <row r="983" spans="1:10" x14ac:dyDescent="0.35">
      <c r="A983" t="s">
        <v>1230</v>
      </c>
      <c r="B983" t="str">
        <f t="shared" ca="1" si="60"/>
        <v>CUST191</v>
      </c>
      <c r="C983" s="1">
        <f t="shared" ca="1" si="61"/>
        <v>45870</v>
      </c>
      <c r="D983" t="s">
        <v>1252</v>
      </c>
      <c r="E983" t="s">
        <v>1257</v>
      </c>
      <c r="F983">
        <f t="shared" ca="1" si="62"/>
        <v>7</v>
      </c>
      <c r="G983">
        <v>120</v>
      </c>
      <c r="H983">
        <f t="shared" ca="1" si="63"/>
        <v>840</v>
      </c>
      <c r="I983" t="s">
        <v>214</v>
      </c>
      <c r="J983" t="str">
        <f ca="1">VLOOKUP(B983,Customer_Data!$A:$D,4,FALSE)</f>
        <v>Regular</v>
      </c>
    </row>
    <row r="984" spans="1:10" x14ac:dyDescent="0.35">
      <c r="A984" t="s">
        <v>1231</v>
      </c>
      <c r="B984" t="str">
        <f t="shared" ca="1" si="60"/>
        <v>CUST002</v>
      </c>
      <c r="C984" s="1">
        <f t="shared" ca="1" si="61"/>
        <v>45658</v>
      </c>
      <c r="D984" t="s">
        <v>1252</v>
      </c>
      <c r="E984" t="s">
        <v>1257</v>
      </c>
      <c r="F984">
        <f t="shared" ca="1" si="62"/>
        <v>4</v>
      </c>
      <c r="G984">
        <v>120</v>
      </c>
      <c r="H984">
        <f t="shared" ca="1" si="63"/>
        <v>480</v>
      </c>
      <c r="I984" t="s">
        <v>212</v>
      </c>
      <c r="J984" t="str">
        <f ca="1">VLOOKUP(B984,Customer_Data!$A:$D,4,FALSE)</f>
        <v>Regular</v>
      </c>
    </row>
    <row r="985" spans="1:10" x14ac:dyDescent="0.35">
      <c r="A985" t="s">
        <v>1232</v>
      </c>
      <c r="B985" t="str">
        <f t="shared" ca="1" si="60"/>
        <v>CUST164</v>
      </c>
      <c r="C985" s="1">
        <f t="shared" ca="1" si="61"/>
        <v>45702</v>
      </c>
      <c r="D985" t="s">
        <v>1252</v>
      </c>
      <c r="E985" t="s">
        <v>1257</v>
      </c>
      <c r="F985">
        <f t="shared" ca="1" si="62"/>
        <v>2</v>
      </c>
      <c r="G985">
        <v>120</v>
      </c>
      <c r="H985">
        <f t="shared" ca="1" si="63"/>
        <v>240</v>
      </c>
      <c r="I985" t="s">
        <v>214</v>
      </c>
      <c r="J985" t="str">
        <f ca="1">VLOOKUP(B985,Customer_Data!$A:$D,4,FALSE)</f>
        <v>Regular</v>
      </c>
    </row>
    <row r="986" spans="1:10" x14ac:dyDescent="0.35">
      <c r="A986" t="s">
        <v>1233</v>
      </c>
      <c r="B986" t="str">
        <f t="shared" ca="1" si="60"/>
        <v>CUST147</v>
      </c>
      <c r="C986" s="1">
        <f t="shared" ca="1" si="61"/>
        <v>45980</v>
      </c>
      <c r="D986" t="s">
        <v>1252</v>
      </c>
      <c r="E986" t="s">
        <v>1257</v>
      </c>
      <c r="F986">
        <f t="shared" ca="1" si="62"/>
        <v>5</v>
      </c>
      <c r="G986">
        <v>120</v>
      </c>
      <c r="H986">
        <f t="shared" ca="1" si="63"/>
        <v>600</v>
      </c>
      <c r="I986" t="s">
        <v>213</v>
      </c>
      <c r="J986" t="str">
        <f ca="1">VLOOKUP(B986,Customer_Data!$A:$D,4,FALSE)</f>
        <v>Regular</v>
      </c>
    </row>
    <row r="987" spans="1:10" x14ac:dyDescent="0.35">
      <c r="A987" t="s">
        <v>1234</v>
      </c>
      <c r="B987" t="str">
        <f t="shared" ca="1" si="60"/>
        <v>CUST008</v>
      </c>
      <c r="C987" s="1">
        <f t="shared" ca="1" si="61"/>
        <v>45776</v>
      </c>
      <c r="D987" t="s">
        <v>1250</v>
      </c>
      <c r="E987" t="s">
        <v>1255</v>
      </c>
      <c r="F987">
        <f t="shared" ca="1" si="62"/>
        <v>9</v>
      </c>
      <c r="G987">
        <v>60</v>
      </c>
      <c r="H987">
        <f t="shared" ca="1" si="63"/>
        <v>540</v>
      </c>
      <c r="I987" t="s">
        <v>214</v>
      </c>
      <c r="J987" t="str">
        <f ca="1">VLOOKUP(B987,Customer_Data!$A:$D,4,FALSE)</f>
        <v>Regular</v>
      </c>
    </row>
    <row r="988" spans="1:10" x14ac:dyDescent="0.35">
      <c r="A988" t="s">
        <v>1235</v>
      </c>
      <c r="B988" t="str">
        <f t="shared" ca="1" si="60"/>
        <v>CUST170</v>
      </c>
      <c r="C988" s="1">
        <f t="shared" ca="1" si="61"/>
        <v>45743</v>
      </c>
      <c r="D988" t="s">
        <v>1251</v>
      </c>
      <c r="E988" t="s">
        <v>1256</v>
      </c>
      <c r="F988">
        <f t="shared" ca="1" si="62"/>
        <v>2</v>
      </c>
      <c r="G988">
        <v>80</v>
      </c>
      <c r="H988">
        <f t="shared" ca="1" si="63"/>
        <v>160</v>
      </c>
      <c r="I988" t="s">
        <v>213</v>
      </c>
      <c r="J988" t="str">
        <f ca="1">VLOOKUP(B988,Customer_Data!$A:$D,4,FALSE)</f>
        <v>Regular</v>
      </c>
    </row>
    <row r="989" spans="1:10" x14ac:dyDescent="0.35">
      <c r="A989" t="s">
        <v>1236</v>
      </c>
      <c r="B989" t="str">
        <f t="shared" ca="1" si="60"/>
        <v>CUST160</v>
      </c>
      <c r="C989" s="1">
        <f t="shared" ca="1" si="61"/>
        <v>45748</v>
      </c>
      <c r="D989" t="s">
        <v>1253</v>
      </c>
      <c r="E989" t="s">
        <v>1258</v>
      </c>
      <c r="F989">
        <f t="shared" ca="1" si="62"/>
        <v>10</v>
      </c>
      <c r="G989">
        <v>90</v>
      </c>
      <c r="H989">
        <f t="shared" ca="1" si="63"/>
        <v>900</v>
      </c>
      <c r="I989" t="s">
        <v>211</v>
      </c>
      <c r="J989" t="str">
        <f ca="1">VLOOKUP(B989,Customer_Data!$A:$D,4,FALSE)</f>
        <v>Gold</v>
      </c>
    </row>
    <row r="990" spans="1:10" x14ac:dyDescent="0.35">
      <c r="A990" t="s">
        <v>1237</v>
      </c>
      <c r="B990" t="str">
        <f t="shared" ca="1" si="60"/>
        <v>CUST012</v>
      </c>
      <c r="C990" s="1">
        <f t="shared" ca="1" si="61"/>
        <v>45906</v>
      </c>
      <c r="D990" t="s">
        <v>1249</v>
      </c>
      <c r="E990" t="s">
        <v>1254</v>
      </c>
      <c r="F990">
        <f t="shared" ca="1" si="62"/>
        <v>5</v>
      </c>
      <c r="G990">
        <v>25</v>
      </c>
      <c r="H990">
        <f t="shared" ca="1" si="63"/>
        <v>125</v>
      </c>
      <c r="I990" t="s">
        <v>213</v>
      </c>
      <c r="J990" t="str">
        <f ca="1">VLOOKUP(B990,Customer_Data!$A:$D,4,FALSE)</f>
        <v>Regular</v>
      </c>
    </row>
    <row r="991" spans="1:10" x14ac:dyDescent="0.35">
      <c r="A991" t="s">
        <v>1238</v>
      </c>
      <c r="B991" t="str">
        <f t="shared" ca="1" si="60"/>
        <v>CUST056</v>
      </c>
      <c r="C991" s="1">
        <f t="shared" ca="1" si="61"/>
        <v>45911</v>
      </c>
      <c r="D991" t="s">
        <v>1249</v>
      </c>
      <c r="E991" t="s">
        <v>1254</v>
      </c>
      <c r="F991">
        <f t="shared" ca="1" si="62"/>
        <v>1</v>
      </c>
      <c r="G991">
        <v>25</v>
      </c>
      <c r="H991">
        <f t="shared" ca="1" si="63"/>
        <v>25</v>
      </c>
      <c r="I991" t="s">
        <v>211</v>
      </c>
      <c r="J991" t="str">
        <f ca="1">VLOOKUP(B991,Customer_Data!$A:$D,4,FALSE)</f>
        <v>Silver</v>
      </c>
    </row>
    <row r="992" spans="1:10" x14ac:dyDescent="0.35">
      <c r="A992" t="s">
        <v>1239</v>
      </c>
      <c r="B992" t="str">
        <f t="shared" ca="1" si="60"/>
        <v>CUST079</v>
      </c>
      <c r="C992" s="1">
        <f t="shared" ca="1" si="61"/>
        <v>45895</v>
      </c>
      <c r="D992" t="s">
        <v>1252</v>
      </c>
      <c r="E992" t="s">
        <v>1257</v>
      </c>
      <c r="F992">
        <f t="shared" ca="1" si="62"/>
        <v>4</v>
      </c>
      <c r="G992">
        <v>120</v>
      </c>
      <c r="H992">
        <f t="shared" ca="1" si="63"/>
        <v>480</v>
      </c>
      <c r="I992" t="s">
        <v>214</v>
      </c>
      <c r="J992" t="str">
        <f ca="1">VLOOKUP(B992,Customer_Data!$A:$D,4,FALSE)</f>
        <v>Gold</v>
      </c>
    </row>
    <row r="993" spans="1:10" x14ac:dyDescent="0.35">
      <c r="A993" t="s">
        <v>1240</v>
      </c>
      <c r="B993" t="str">
        <f t="shared" ca="1" si="60"/>
        <v>CUST161</v>
      </c>
      <c r="C993" s="1">
        <f t="shared" ca="1" si="61"/>
        <v>45696</v>
      </c>
      <c r="D993" t="s">
        <v>1251</v>
      </c>
      <c r="E993" t="s">
        <v>1256</v>
      </c>
      <c r="F993">
        <f t="shared" ca="1" si="62"/>
        <v>4</v>
      </c>
      <c r="G993">
        <v>80</v>
      </c>
      <c r="H993">
        <f t="shared" ca="1" si="63"/>
        <v>320</v>
      </c>
      <c r="I993" t="s">
        <v>214</v>
      </c>
      <c r="J993" t="str">
        <f ca="1">VLOOKUP(B993,Customer_Data!$A:$D,4,FALSE)</f>
        <v>Regular</v>
      </c>
    </row>
    <row r="994" spans="1:10" x14ac:dyDescent="0.35">
      <c r="A994" t="s">
        <v>1241</v>
      </c>
      <c r="B994" t="str">
        <f t="shared" ca="1" si="60"/>
        <v>CUST189</v>
      </c>
      <c r="C994" s="1">
        <f t="shared" ca="1" si="61"/>
        <v>45986</v>
      </c>
      <c r="D994" t="s">
        <v>1249</v>
      </c>
      <c r="E994" t="s">
        <v>1254</v>
      </c>
      <c r="F994">
        <f t="shared" ca="1" si="62"/>
        <v>2</v>
      </c>
      <c r="G994">
        <v>25</v>
      </c>
      <c r="H994">
        <f t="shared" ca="1" si="63"/>
        <v>50</v>
      </c>
      <c r="I994" t="s">
        <v>211</v>
      </c>
      <c r="J994" t="str">
        <f ca="1">VLOOKUP(B994,Customer_Data!$A:$D,4,FALSE)</f>
        <v>Regular</v>
      </c>
    </row>
    <row r="995" spans="1:10" x14ac:dyDescent="0.35">
      <c r="A995" t="s">
        <v>1242</v>
      </c>
      <c r="B995" t="str">
        <f t="shared" ca="1" si="60"/>
        <v>CUST116</v>
      </c>
      <c r="C995" s="1">
        <f t="shared" ca="1" si="61"/>
        <v>45695</v>
      </c>
      <c r="D995" t="s">
        <v>1250</v>
      </c>
      <c r="E995" t="s">
        <v>1255</v>
      </c>
      <c r="F995">
        <f t="shared" ca="1" si="62"/>
        <v>10</v>
      </c>
      <c r="G995">
        <v>60</v>
      </c>
      <c r="H995">
        <f t="shared" ca="1" si="63"/>
        <v>600</v>
      </c>
      <c r="I995" t="s">
        <v>213</v>
      </c>
      <c r="J995" t="str">
        <f ca="1">VLOOKUP(B995,Customer_Data!$A:$D,4,FALSE)</f>
        <v>Silver</v>
      </c>
    </row>
    <row r="996" spans="1:10" x14ac:dyDescent="0.35">
      <c r="A996" t="s">
        <v>1243</v>
      </c>
      <c r="B996" t="str">
        <f t="shared" ca="1" si="60"/>
        <v>CUST112</v>
      </c>
      <c r="C996" s="1">
        <f t="shared" ca="1" si="61"/>
        <v>45694</v>
      </c>
      <c r="D996" t="s">
        <v>1253</v>
      </c>
      <c r="E996" t="s">
        <v>1258</v>
      </c>
      <c r="F996">
        <f t="shared" ca="1" si="62"/>
        <v>1</v>
      </c>
      <c r="G996">
        <v>90</v>
      </c>
      <c r="H996">
        <f t="shared" ca="1" si="63"/>
        <v>90</v>
      </c>
      <c r="I996" t="s">
        <v>214</v>
      </c>
      <c r="J996" t="str">
        <f ca="1">VLOOKUP(B996,Customer_Data!$A:$D,4,FALSE)</f>
        <v>Regular</v>
      </c>
    </row>
    <row r="997" spans="1:10" x14ac:dyDescent="0.35">
      <c r="A997" t="s">
        <v>1244</v>
      </c>
      <c r="B997" t="str">
        <f t="shared" ca="1" si="60"/>
        <v>CUST033</v>
      </c>
      <c r="C997" s="1">
        <f t="shared" ca="1" si="61"/>
        <v>45683</v>
      </c>
      <c r="D997" t="s">
        <v>1249</v>
      </c>
      <c r="E997" t="s">
        <v>1254</v>
      </c>
      <c r="F997">
        <f t="shared" ca="1" si="62"/>
        <v>10</v>
      </c>
      <c r="G997">
        <v>25</v>
      </c>
      <c r="H997">
        <f t="shared" ca="1" si="63"/>
        <v>250</v>
      </c>
      <c r="I997" t="s">
        <v>211</v>
      </c>
      <c r="J997" t="str">
        <f ca="1">VLOOKUP(B997,Customer_Data!$A:$D,4,FALSE)</f>
        <v>Silver</v>
      </c>
    </row>
    <row r="998" spans="1:10" x14ac:dyDescent="0.35">
      <c r="A998" t="s">
        <v>1245</v>
      </c>
      <c r="B998" t="str">
        <f t="shared" ca="1" si="60"/>
        <v>CUST011</v>
      </c>
      <c r="C998" s="1">
        <f t="shared" ca="1" si="61"/>
        <v>45998</v>
      </c>
      <c r="D998" t="s">
        <v>1252</v>
      </c>
      <c r="E998" t="s">
        <v>1257</v>
      </c>
      <c r="F998">
        <f t="shared" ca="1" si="62"/>
        <v>5</v>
      </c>
      <c r="G998">
        <v>120</v>
      </c>
      <c r="H998">
        <f t="shared" ca="1" si="63"/>
        <v>600</v>
      </c>
      <c r="I998" t="s">
        <v>213</v>
      </c>
      <c r="J998" t="str">
        <f ca="1">VLOOKUP(B998,Customer_Data!$A:$D,4,FALSE)</f>
        <v>Regular</v>
      </c>
    </row>
    <row r="999" spans="1:10" x14ac:dyDescent="0.35">
      <c r="A999" t="s">
        <v>1246</v>
      </c>
      <c r="B999" t="str">
        <f t="shared" ca="1" si="60"/>
        <v>CUST189</v>
      </c>
      <c r="C999" s="1">
        <f t="shared" ca="1" si="61"/>
        <v>45739</v>
      </c>
      <c r="D999" t="s">
        <v>1251</v>
      </c>
      <c r="E999" t="s">
        <v>1256</v>
      </c>
      <c r="F999">
        <f t="shared" ca="1" si="62"/>
        <v>3</v>
      </c>
      <c r="G999">
        <v>80</v>
      </c>
      <c r="H999">
        <f t="shared" ca="1" si="63"/>
        <v>240</v>
      </c>
      <c r="I999" t="s">
        <v>211</v>
      </c>
      <c r="J999" t="str">
        <f ca="1">VLOOKUP(B999,Customer_Data!$A:$D,4,FALSE)</f>
        <v>Regular</v>
      </c>
    </row>
    <row r="1000" spans="1:10" x14ac:dyDescent="0.35">
      <c r="A1000" t="s">
        <v>1247</v>
      </c>
      <c r="B1000" t="str">
        <f t="shared" ca="1" si="60"/>
        <v>CUST179</v>
      </c>
      <c r="C1000" s="1">
        <f t="shared" ca="1" si="61"/>
        <v>45703</v>
      </c>
      <c r="D1000" t="s">
        <v>1251</v>
      </c>
      <c r="E1000" t="s">
        <v>1256</v>
      </c>
      <c r="F1000">
        <f t="shared" ca="1" si="62"/>
        <v>3</v>
      </c>
      <c r="G1000">
        <v>80</v>
      </c>
      <c r="H1000">
        <f t="shared" ca="1" si="63"/>
        <v>240</v>
      </c>
      <c r="I1000" t="s">
        <v>213</v>
      </c>
      <c r="J1000" t="str">
        <f ca="1">VLOOKUP(B1000,Customer_Data!$A:$D,4,FALSE)</f>
        <v>Gold</v>
      </c>
    </row>
    <row r="1001" spans="1:10" x14ac:dyDescent="0.35">
      <c r="A1001" t="s">
        <v>1248</v>
      </c>
      <c r="B1001" t="str">
        <f t="shared" ca="1" si="60"/>
        <v>CUST197</v>
      </c>
      <c r="C1001" s="1">
        <f t="shared" ca="1" si="61"/>
        <v>45765</v>
      </c>
      <c r="D1001" t="s">
        <v>1251</v>
      </c>
      <c r="E1001" t="s">
        <v>1256</v>
      </c>
      <c r="F1001">
        <f t="shared" ca="1" si="62"/>
        <v>8</v>
      </c>
      <c r="G1001">
        <v>80</v>
      </c>
      <c r="H1001">
        <f t="shared" ca="1" si="63"/>
        <v>640</v>
      </c>
      <c r="I1001" t="s">
        <v>211</v>
      </c>
      <c r="J1001" t="str">
        <f ca="1">VLOOKUP(B1001,Customer_Data!$A:$D,4,FALSE)</f>
        <v>Silver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DD02-EB9C-41CA-B9F3-499BECF8947D}">
  <dimension ref="A1:G201"/>
  <sheetViews>
    <sheetView workbookViewId="0">
      <selection activeCell="C3" sqref="C3"/>
    </sheetView>
  </sheetViews>
  <sheetFormatPr defaultRowHeight="14.5" x14ac:dyDescent="0.35"/>
  <cols>
    <col min="1" max="1" width="11.1796875" bestFit="1" customWidth="1"/>
    <col min="2" max="2" width="15.81640625" bestFit="1" customWidth="1"/>
    <col min="4" max="4" width="16" bestFit="1" customWidth="1"/>
    <col min="6" max="6" width="15.81640625" bestFit="1" customWidth="1"/>
  </cols>
  <sheetData>
    <row r="1" spans="1:7" x14ac:dyDescent="0.35">
      <c r="A1" t="s">
        <v>1</v>
      </c>
      <c r="B1" t="s">
        <v>8</v>
      </c>
      <c r="C1" t="s">
        <v>9</v>
      </c>
      <c r="D1" t="s">
        <v>10</v>
      </c>
    </row>
    <row r="2" spans="1:7" x14ac:dyDescent="0.35">
      <c r="A2" t="s">
        <v>11</v>
      </c>
      <c r="B2" t="str" cm="1">
        <f t="array" aca="1" ref="B2" ca="1">INDEX($F$2:$F$16,RANDBETWEEN(1,15)) &amp; " " &amp; INDEX($G$2:$G$16,RANDBETWEEN(1,15))</f>
        <v>Mia Miller</v>
      </c>
      <c r="C2" t="s">
        <v>211</v>
      </c>
      <c r="D2" t="s">
        <v>216</v>
      </c>
      <c r="F2" t="s">
        <v>219</v>
      </c>
      <c r="G2" t="s">
        <v>234</v>
      </c>
    </row>
    <row r="3" spans="1:7" x14ac:dyDescent="0.35">
      <c r="A3" t="s">
        <v>12</v>
      </c>
      <c r="B3" t="str" cm="1">
        <f t="array" aca="1" ref="B3" ca="1">INDEX($F$2:$F$16,RANDBETWEEN(1,15)) &amp; " " &amp; INDEX($G$2:$G$16,RANDBETWEEN(1,15))</f>
        <v>Mia Smith</v>
      </c>
      <c r="C3" t="s">
        <v>214</v>
      </c>
      <c r="D3" t="s">
        <v>216</v>
      </c>
      <c r="F3" t="s">
        <v>220</v>
      </c>
      <c r="G3" t="s">
        <v>235</v>
      </c>
    </row>
    <row r="4" spans="1:7" x14ac:dyDescent="0.35">
      <c r="A4" t="s">
        <v>13</v>
      </c>
      <c r="B4" t="str" cm="1">
        <f t="array" aca="1" ref="B4" ca="1">INDEX($F$2:$F$16,RANDBETWEEN(1,15)) &amp; " " &amp; INDEX($G$2:$G$16,RANDBETWEEN(1,15))</f>
        <v>Emma Miller</v>
      </c>
      <c r="C4" t="s">
        <v>211</v>
      </c>
      <c r="D4" t="s">
        <v>216</v>
      </c>
      <c r="F4" t="s">
        <v>221</v>
      </c>
      <c r="G4" t="s">
        <v>236</v>
      </c>
    </row>
    <row r="5" spans="1:7" x14ac:dyDescent="0.35">
      <c r="A5" t="s">
        <v>14</v>
      </c>
      <c r="B5" t="str" cm="1">
        <f t="array" aca="1" ref="B5" ca="1">INDEX($F$2:$F$16,RANDBETWEEN(1,15)) &amp; " " &amp; INDEX($G$2:$G$16,RANDBETWEEN(1,15))</f>
        <v>Amara Miller</v>
      </c>
      <c r="C5" t="s">
        <v>215</v>
      </c>
      <c r="D5" t="s">
        <v>216</v>
      </c>
      <c r="F5" t="s">
        <v>222</v>
      </c>
      <c r="G5" t="s">
        <v>237</v>
      </c>
    </row>
    <row r="6" spans="1:7" x14ac:dyDescent="0.35">
      <c r="A6" t="s">
        <v>15</v>
      </c>
      <c r="B6" t="str" cm="1">
        <f t="array" aca="1" ref="B6" ca="1">INDEX($F$2:$F$16,RANDBETWEEN(1,15)) &amp; " " &amp; INDEX($G$2:$G$16,RANDBETWEEN(1,15))</f>
        <v>Chris Thomas</v>
      </c>
      <c r="C6" t="s">
        <v>213</v>
      </c>
      <c r="D6" t="s">
        <v>216</v>
      </c>
      <c r="F6" t="s">
        <v>223</v>
      </c>
      <c r="G6" t="s">
        <v>238</v>
      </c>
    </row>
    <row r="7" spans="1:7" x14ac:dyDescent="0.35">
      <c r="A7" t="s">
        <v>16</v>
      </c>
      <c r="B7" t="str" cm="1">
        <f t="array" aca="1" ref="B7" ca="1">INDEX($F$2:$F$16,RANDBETWEEN(1,15)) &amp; " " &amp; INDEX($G$2:$G$16,RANDBETWEEN(1,15))</f>
        <v>Chris Moore</v>
      </c>
      <c r="C7" t="s">
        <v>211</v>
      </c>
      <c r="D7" t="s">
        <v>216</v>
      </c>
      <c r="F7" t="s">
        <v>224</v>
      </c>
      <c r="G7" t="s">
        <v>239</v>
      </c>
    </row>
    <row r="8" spans="1:7" x14ac:dyDescent="0.35">
      <c r="A8" t="s">
        <v>17</v>
      </c>
      <c r="B8" t="str" cm="1">
        <f t="array" aca="1" ref="B8" ca="1">INDEX($F$2:$F$16,RANDBETWEEN(1,15)) &amp; " " &amp; INDEX($G$2:$G$16,RANDBETWEEN(1,15))</f>
        <v>John Davis</v>
      </c>
      <c r="C8" t="s">
        <v>213</v>
      </c>
      <c r="D8" t="s">
        <v>216</v>
      </c>
      <c r="F8" t="s">
        <v>225</v>
      </c>
      <c r="G8" t="s">
        <v>240</v>
      </c>
    </row>
    <row r="9" spans="1:7" x14ac:dyDescent="0.35">
      <c r="A9" t="s">
        <v>18</v>
      </c>
      <c r="B9" t="str" cm="1">
        <f t="array" aca="1" ref="B9" ca="1">INDEX($F$2:$F$16,RANDBETWEEN(1,15)) &amp; " " &amp; INDEX($G$2:$G$16,RANDBETWEEN(1,15))</f>
        <v>Sophia Moore</v>
      </c>
      <c r="C9" t="s">
        <v>213</v>
      </c>
      <c r="D9" t="s">
        <v>216</v>
      </c>
      <c r="F9" t="s">
        <v>226</v>
      </c>
      <c r="G9" t="s">
        <v>241</v>
      </c>
    </row>
    <row r="10" spans="1:7" x14ac:dyDescent="0.35">
      <c r="A10" t="s">
        <v>19</v>
      </c>
      <c r="B10" t="str" cm="1">
        <f t="array" aca="1" ref="B10" ca="1">INDEX($F$2:$F$16,RANDBETWEEN(1,15)) &amp; " " &amp; INDEX($G$2:$G$16,RANDBETWEEN(1,15))</f>
        <v>Olivia Anderson</v>
      </c>
      <c r="C10" t="s">
        <v>212</v>
      </c>
      <c r="D10" t="s">
        <v>216</v>
      </c>
      <c r="F10" t="s">
        <v>227</v>
      </c>
      <c r="G10" t="s">
        <v>242</v>
      </c>
    </row>
    <row r="11" spans="1:7" x14ac:dyDescent="0.35">
      <c r="A11" t="s">
        <v>20</v>
      </c>
      <c r="B11" t="str" cm="1">
        <f t="array" aca="1" ref="B11" ca="1">INDEX($F$2:$F$16,RANDBETWEEN(1,15)) &amp; " " &amp; INDEX($G$2:$G$16,RANDBETWEEN(1,15))</f>
        <v>James Smith</v>
      </c>
      <c r="C11" t="s">
        <v>212</v>
      </c>
      <c r="D11" t="s">
        <v>216</v>
      </c>
      <c r="F11" t="s">
        <v>228</v>
      </c>
      <c r="G11" t="s">
        <v>243</v>
      </c>
    </row>
    <row r="12" spans="1:7" x14ac:dyDescent="0.35">
      <c r="A12" t="s">
        <v>21</v>
      </c>
      <c r="B12" t="str" cm="1">
        <f t="array" aca="1" ref="B12" ca="1">INDEX($F$2:$F$16,RANDBETWEEN(1,15)) &amp; " " &amp; INDEX($G$2:$G$16,RANDBETWEEN(1,15))</f>
        <v>James Wilson</v>
      </c>
      <c r="C12" t="s">
        <v>212</v>
      </c>
      <c r="D12" t="s">
        <v>216</v>
      </c>
      <c r="F12" t="s">
        <v>229</v>
      </c>
      <c r="G12" t="s">
        <v>244</v>
      </c>
    </row>
    <row r="13" spans="1:7" x14ac:dyDescent="0.35">
      <c r="A13" t="s">
        <v>22</v>
      </c>
      <c r="B13" t="str" cm="1">
        <f t="array" aca="1" ref="B13" ca="1">INDEX($F$2:$F$16,RANDBETWEEN(1,15)) &amp; " " &amp; INDEX($G$2:$G$16,RANDBETWEEN(1,15))</f>
        <v>Noah Jones</v>
      </c>
      <c r="C13" t="s">
        <v>213</v>
      </c>
      <c r="D13" t="s">
        <v>216</v>
      </c>
      <c r="F13" t="s">
        <v>230</v>
      </c>
      <c r="G13" t="s">
        <v>245</v>
      </c>
    </row>
    <row r="14" spans="1:7" x14ac:dyDescent="0.35">
      <c r="A14" t="s">
        <v>23</v>
      </c>
      <c r="B14" t="str" cm="1">
        <f t="array" aca="1" ref="B14" ca="1">INDEX($F$2:$F$16,RANDBETWEEN(1,15)) &amp; " " &amp; INDEX($G$2:$G$16,RANDBETWEEN(1,15))</f>
        <v>John Anderson</v>
      </c>
      <c r="C14" t="s">
        <v>213</v>
      </c>
      <c r="D14" t="s">
        <v>217</v>
      </c>
      <c r="F14" t="s">
        <v>231</v>
      </c>
      <c r="G14" t="s">
        <v>246</v>
      </c>
    </row>
    <row r="15" spans="1:7" x14ac:dyDescent="0.35">
      <c r="A15" t="s">
        <v>24</v>
      </c>
      <c r="B15" t="str" cm="1">
        <f t="array" aca="1" ref="B15" ca="1">INDEX($F$2:$F$16,RANDBETWEEN(1,15)) &amp; " " &amp; INDEX($G$2:$G$16,RANDBETWEEN(1,15))</f>
        <v>Sophia Davis</v>
      </c>
      <c r="C15" t="s">
        <v>212</v>
      </c>
      <c r="D15" t="s">
        <v>217</v>
      </c>
      <c r="F15" t="s">
        <v>232</v>
      </c>
      <c r="G15" t="s">
        <v>247</v>
      </c>
    </row>
    <row r="16" spans="1:7" x14ac:dyDescent="0.35">
      <c r="A16" t="s">
        <v>25</v>
      </c>
      <c r="B16" t="str" cm="1">
        <f t="array" aca="1" ref="B16" ca="1">INDEX($F$2:$F$16,RANDBETWEEN(1,15)) &amp; " " &amp; INDEX($G$2:$G$16,RANDBETWEEN(1,15))</f>
        <v>Noah Anderson</v>
      </c>
      <c r="C16" t="s">
        <v>211</v>
      </c>
      <c r="D16" t="s">
        <v>217</v>
      </c>
      <c r="F16" t="s">
        <v>233</v>
      </c>
      <c r="G16" t="s">
        <v>248</v>
      </c>
    </row>
    <row r="17" spans="1:4" x14ac:dyDescent="0.35">
      <c r="A17" t="s">
        <v>26</v>
      </c>
      <c r="B17" t="str" cm="1">
        <f t="array" aca="1" ref="B17" ca="1">INDEX($F$2:$F$16,RANDBETWEEN(1,15)) &amp; " " &amp; INDEX($G$2:$G$16,RANDBETWEEN(1,15))</f>
        <v>Sophia Smith</v>
      </c>
      <c r="C17" t="s">
        <v>211</v>
      </c>
      <c r="D17" t="s">
        <v>217</v>
      </c>
    </row>
    <row r="18" spans="1:4" x14ac:dyDescent="0.35">
      <c r="A18" t="s">
        <v>27</v>
      </c>
      <c r="B18" t="str" cm="1">
        <f t="array" aca="1" ref="B18" ca="1">INDEX($F$2:$F$16,RANDBETWEEN(1,15)) &amp; " " &amp; INDEX($G$2:$G$16,RANDBETWEEN(1,15))</f>
        <v>John Moore</v>
      </c>
      <c r="C18" t="s">
        <v>211</v>
      </c>
      <c r="D18" t="s">
        <v>217</v>
      </c>
    </row>
    <row r="19" spans="1:4" x14ac:dyDescent="0.35">
      <c r="A19" t="s">
        <v>28</v>
      </c>
      <c r="B19" t="str" cm="1">
        <f t="array" aca="1" ref="B19" ca="1">INDEX($F$2:$F$16,RANDBETWEEN(1,15)) &amp; " " &amp; INDEX($G$2:$G$16,RANDBETWEEN(1,15))</f>
        <v>Isabella Anderson</v>
      </c>
      <c r="C19" t="s">
        <v>212</v>
      </c>
      <c r="D19" t="s">
        <v>218</v>
      </c>
    </row>
    <row r="20" spans="1:4" x14ac:dyDescent="0.35">
      <c r="A20" t="s">
        <v>29</v>
      </c>
      <c r="B20" t="str" cm="1">
        <f t="array" aca="1" ref="B20" ca="1">INDEX($F$2:$F$16,RANDBETWEEN(1,15)) &amp; " " &amp; INDEX($G$2:$G$16,RANDBETWEEN(1,15))</f>
        <v>David Davis</v>
      </c>
      <c r="C20" t="s">
        <v>214</v>
      </c>
      <c r="D20" t="s">
        <v>218</v>
      </c>
    </row>
    <row r="21" spans="1:4" x14ac:dyDescent="0.35">
      <c r="A21" t="s">
        <v>30</v>
      </c>
      <c r="B21" t="str" cm="1">
        <f t="array" aca="1" ref="B21" ca="1">INDEX($F$2:$F$16,RANDBETWEEN(1,15)) &amp; " " &amp; INDEX($G$2:$G$16,RANDBETWEEN(1,15))</f>
        <v>Mia Thomas</v>
      </c>
      <c r="C21" t="s">
        <v>214</v>
      </c>
      <c r="D21" t="s">
        <v>218</v>
      </c>
    </row>
    <row r="22" spans="1:4" x14ac:dyDescent="0.35">
      <c r="A22" t="s">
        <v>31</v>
      </c>
      <c r="B22" t="str" cm="1">
        <f t="array" aca="1" ref="B22" ca="1">INDEX($F$2:$F$16,RANDBETWEEN(1,15)) &amp; " " &amp; INDEX($G$2:$G$16,RANDBETWEEN(1,15))</f>
        <v>Isabella Garcia</v>
      </c>
      <c r="C22" t="s">
        <v>213</v>
      </c>
      <c r="D22" t="s">
        <v>216</v>
      </c>
    </row>
    <row r="23" spans="1:4" x14ac:dyDescent="0.35">
      <c r="A23" t="s">
        <v>32</v>
      </c>
      <c r="B23" t="str" cm="1">
        <f t="array" aca="1" ref="B23" ca="1">INDEX($F$2:$F$16,RANDBETWEEN(1,15)) &amp; " " &amp; INDEX($G$2:$G$16,RANDBETWEEN(1,15))</f>
        <v>Amara Wilson</v>
      </c>
      <c r="C23" t="s">
        <v>212</v>
      </c>
      <c r="D23" t="s">
        <v>216</v>
      </c>
    </row>
    <row r="24" spans="1:4" x14ac:dyDescent="0.35">
      <c r="A24" t="s">
        <v>33</v>
      </c>
      <c r="B24" t="str" cm="1">
        <f t="array" aca="1" ref="B24" ca="1">INDEX($F$2:$F$16,RANDBETWEEN(1,15)) &amp; " " &amp; INDEX($G$2:$G$16,RANDBETWEEN(1,15))</f>
        <v>Noah Williams</v>
      </c>
      <c r="C24" t="s">
        <v>214</v>
      </c>
      <c r="D24" t="s">
        <v>216</v>
      </c>
    </row>
    <row r="25" spans="1:4" x14ac:dyDescent="0.35">
      <c r="A25" t="s">
        <v>34</v>
      </c>
      <c r="B25" t="str" cm="1">
        <f t="array" aca="1" ref="B25" ca="1">INDEX($F$2:$F$16,RANDBETWEEN(1,15)) &amp; " " &amp; INDEX($G$2:$G$16,RANDBETWEEN(1,15))</f>
        <v>John Martin</v>
      </c>
      <c r="C25" t="s">
        <v>214</v>
      </c>
      <c r="D25" t="s">
        <v>216</v>
      </c>
    </row>
    <row r="26" spans="1:4" x14ac:dyDescent="0.35">
      <c r="A26" t="s">
        <v>35</v>
      </c>
      <c r="B26" t="str" cm="1">
        <f t="array" aca="1" ref="B26" ca="1">INDEX($F$2:$F$16,RANDBETWEEN(1,15)) &amp; " " &amp; INDEX($G$2:$G$16,RANDBETWEEN(1,15))</f>
        <v>John Wilson</v>
      </c>
      <c r="C26" t="s">
        <v>214</v>
      </c>
      <c r="D26" t="s">
        <v>216</v>
      </c>
    </row>
    <row r="27" spans="1:4" x14ac:dyDescent="0.35">
      <c r="A27" t="s">
        <v>36</v>
      </c>
      <c r="B27" t="str" cm="1">
        <f t="array" aca="1" ref="B27" ca="1">INDEX($F$2:$F$16,RANDBETWEEN(1,15)) &amp; " " &amp; INDEX($G$2:$G$16,RANDBETWEEN(1,15))</f>
        <v>James Jackson</v>
      </c>
      <c r="C27" t="s">
        <v>213</v>
      </c>
      <c r="D27" t="s">
        <v>216</v>
      </c>
    </row>
    <row r="28" spans="1:4" x14ac:dyDescent="0.35">
      <c r="A28" t="s">
        <v>37</v>
      </c>
      <c r="B28" t="str" cm="1">
        <f t="array" aca="1" ref="B28" ca="1">INDEX($F$2:$F$16,RANDBETWEEN(1,15)) &amp; " " &amp; INDEX($G$2:$G$16,RANDBETWEEN(1,15))</f>
        <v>Isabella Thomas</v>
      </c>
      <c r="C28" t="s">
        <v>213</v>
      </c>
      <c r="D28" t="s">
        <v>216</v>
      </c>
    </row>
    <row r="29" spans="1:4" x14ac:dyDescent="0.35">
      <c r="A29" t="s">
        <v>38</v>
      </c>
      <c r="B29" t="str" cm="1">
        <f t="array" aca="1" ref="B29" ca="1">INDEX($F$2:$F$16,RANDBETWEEN(1,15)) &amp; " " &amp; INDEX($G$2:$G$16,RANDBETWEEN(1,15))</f>
        <v>Daniel Jones</v>
      </c>
      <c r="C29" t="s">
        <v>212</v>
      </c>
      <c r="D29" t="s">
        <v>216</v>
      </c>
    </row>
    <row r="30" spans="1:4" x14ac:dyDescent="0.35">
      <c r="A30" t="s">
        <v>39</v>
      </c>
      <c r="B30" t="str" cm="1">
        <f t="array" aca="1" ref="B30" ca="1">INDEX($F$2:$F$16,RANDBETWEEN(1,15)) &amp; " " &amp; INDEX($G$2:$G$16,RANDBETWEEN(1,15))</f>
        <v>Isabella Thomas</v>
      </c>
      <c r="C30" t="s">
        <v>212</v>
      </c>
      <c r="D30" t="s">
        <v>216</v>
      </c>
    </row>
    <row r="31" spans="1:4" x14ac:dyDescent="0.35">
      <c r="A31" t="s">
        <v>40</v>
      </c>
      <c r="B31" t="str" cm="1">
        <f t="array" aca="1" ref="B31" ca="1">INDEX($F$2:$F$16,RANDBETWEEN(1,15)) &amp; " " &amp; INDEX($G$2:$G$16,RANDBETWEEN(1,15))</f>
        <v>James Johnson</v>
      </c>
      <c r="C31" t="s">
        <v>212</v>
      </c>
      <c r="D31" t="s">
        <v>216</v>
      </c>
    </row>
    <row r="32" spans="1:4" x14ac:dyDescent="0.35">
      <c r="A32" t="s">
        <v>41</v>
      </c>
      <c r="B32" t="str" cm="1">
        <f t="array" aca="1" ref="B32" ca="1">INDEX($F$2:$F$16,RANDBETWEEN(1,15)) &amp; " " &amp; INDEX($G$2:$G$16,RANDBETWEEN(1,15))</f>
        <v>Sophia Taylor</v>
      </c>
      <c r="C32" t="s">
        <v>211</v>
      </c>
      <c r="D32" t="s">
        <v>216</v>
      </c>
    </row>
    <row r="33" spans="1:4" x14ac:dyDescent="0.35">
      <c r="A33" t="s">
        <v>42</v>
      </c>
      <c r="B33" t="str" cm="1">
        <f t="array" aca="1" ref="B33" ca="1">INDEX($F$2:$F$16,RANDBETWEEN(1,15)) &amp; " " &amp; INDEX($G$2:$G$16,RANDBETWEEN(1,15))</f>
        <v>Isabella Brown</v>
      </c>
      <c r="C33" t="s">
        <v>211</v>
      </c>
      <c r="D33" t="s">
        <v>216</v>
      </c>
    </row>
    <row r="34" spans="1:4" x14ac:dyDescent="0.35">
      <c r="A34" t="s">
        <v>43</v>
      </c>
      <c r="B34" t="str" cm="1">
        <f t="array" aca="1" ref="B34" ca="1">INDEX($F$2:$F$16,RANDBETWEEN(1,15)) &amp; " " &amp; INDEX($G$2:$G$16,RANDBETWEEN(1,15))</f>
        <v>Olivia Miller</v>
      </c>
      <c r="C34" t="s">
        <v>211</v>
      </c>
      <c r="D34" t="s">
        <v>217</v>
      </c>
    </row>
    <row r="35" spans="1:4" x14ac:dyDescent="0.35">
      <c r="A35" t="s">
        <v>44</v>
      </c>
      <c r="B35" t="str" cm="1">
        <f t="array" aca="1" ref="B35" ca="1">INDEX($F$2:$F$16,RANDBETWEEN(1,15)) &amp; " " &amp; INDEX($G$2:$G$16,RANDBETWEEN(1,15))</f>
        <v>David Moore</v>
      </c>
      <c r="C35" t="s">
        <v>211</v>
      </c>
      <c r="D35" t="s">
        <v>217</v>
      </c>
    </row>
    <row r="36" spans="1:4" x14ac:dyDescent="0.35">
      <c r="A36" t="s">
        <v>45</v>
      </c>
      <c r="B36" t="str" cm="1">
        <f t="array" aca="1" ref="B36" ca="1">INDEX($F$2:$F$16,RANDBETWEEN(1,15)) &amp; " " &amp; INDEX($G$2:$G$16,RANDBETWEEN(1,15))</f>
        <v>Olivia Taylor</v>
      </c>
      <c r="C36" t="s">
        <v>211</v>
      </c>
      <c r="D36" t="s">
        <v>217</v>
      </c>
    </row>
    <row r="37" spans="1:4" x14ac:dyDescent="0.35">
      <c r="A37" t="s">
        <v>46</v>
      </c>
      <c r="B37" t="str" cm="1">
        <f t="array" aca="1" ref="B37" ca="1">INDEX($F$2:$F$16,RANDBETWEEN(1,15)) &amp; " " &amp; INDEX($G$2:$G$16,RANDBETWEEN(1,15))</f>
        <v>Ava Johnson</v>
      </c>
      <c r="C37" t="s">
        <v>211</v>
      </c>
      <c r="D37" t="s">
        <v>217</v>
      </c>
    </row>
    <row r="38" spans="1:4" x14ac:dyDescent="0.35">
      <c r="A38" t="s">
        <v>47</v>
      </c>
      <c r="B38" t="str" cm="1">
        <f t="array" aca="1" ref="B38" ca="1">INDEX($F$2:$F$16,RANDBETWEEN(1,15)) &amp; " " &amp; INDEX($G$2:$G$16,RANDBETWEEN(1,15))</f>
        <v>John Moore</v>
      </c>
      <c r="C38" t="s">
        <v>211</v>
      </c>
      <c r="D38" t="s">
        <v>217</v>
      </c>
    </row>
    <row r="39" spans="1:4" x14ac:dyDescent="0.35">
      <c r="A39" t="s">
        <v>48</v>
      </c>
      <c r="B39" t="str" cm="1">
        <f t="array" aca="1" ref="B39" ca="1">INDEX($F$2:$F$16,RANDBETWEEN(1,15)) &amp; " " &amp; INDEX($G$2:$G$16,RANDBETWEEN(1,15))</f>
        <v>John Garcia</v>
      </c>
      <c r="C39" t="s">
        <v>213</v>
      </c>
      <c r="D39" t="s">
        <v>218</v>
      </c>
    </row>
    <row r="40" spans="1:4" x14ac:dyDescent="0.35">
      <c r="A40" t="s">
        <v>49</v>
      </c>
      <c r="B40" t="str" cm="1">
        <f t="array" aca="1" ref="B40" ca="1">INDEX($F$2:$F$16,RANDBETWEEN(1,15)) &amp; " " &amp; INDEX($G$2:$G$16,RANDBETWEEN(1,15))</f>
        <v>Isabella Smith</v>
      </c>
      <c r="C40" t="s">
        <v>213</v>
      </c>
      <c r="D40" t="s">
        <v>218</v>
      </c>
    </row>
    <row r="41" spans="1:4" x14ac:dyDescent="0.35">
      <c r="A41" t="s">
        <v>50</v>
      </c>
      <c r="B41" t="str" cm="1">
        <f t="array" aca="1" ref="B41" ca="1">INDEX($F$2:$F$16,RANDBETWEEN(1,15)) &amp; " " &amp; INDEX($G$2:$G$16,RANDBETWEEN(1,15))</f>
        <v>James Martin</v>
      </c>
      <c r="C41" t="s">
        <v>213</v>
      </c>
      <c r="D41" t="s">
        <v>218</v>
      </c>
    </row>
    <row r="42" spans="1:4" x14ac:dyDescent="0.35">
      <c r="A42" t="s">
        <v>51</v>
      </c>
      <c r="B42" t="str" cm="1">
        <f t="array" aca="1" ref="B42" ca="1">INDEX($F$2:$F$16,RANDBETWEEN(1,15)) &amp; " " &amp; INDEX($G$2:$G$16,RANDBETWEEN(1,15))</f>
        <v>Andrew Johnson</v>
      </c>
      <c r="C42" t="s">
        <v>213</v>
      </c>
      <c r="D42" t="s">
        <v>216</v>
      </c>
    </row>
    <row r="43" spans="1:4" x14ac:dyDescent="0.35">
      <c r="A43" t="s">
        <v>52</v>
      </c>
      <c r="B43" t="str" cm="1">
        <f t="array" aca="1" ref="B43" ca="1">INDEX($F$2:$F$16,RANDBETWEEN(1,15)) &amp; " " &amp; INDEX($G$2:$G$16,RANDBETWEEN(1,15))</f>
        <v>John Johnson</v>
      </c>
      <c r="C43" t="s">
        <v>213</v>
      </c>
      <c r="D43" t="s">
        <v>216</v>
      </c>
    </row>
    <row r="44" spans="1:4" x14ac:dyDescent="0.35">
      <c r="A44" t="s">
        <v>53</v>
      </c>
      <c r="B44" t="str" cm="1">
        <f t="array" aca="1" ref="B44" ca="1">INDEX($F$2:$F$16,RANDBETWEEN(1,15)) &amp; " " &amp; INDEX($G$2:$G$16,RANDBETWEEN(1,15))</f>
        <v>James Garcia</v>
      </c>
      <c r="C44" t="s">
        <v>214</v>
      </c>
      <c r="D44" t="s">
        <v>216</v>
      </c>
    </row>
    <row r="45" spans="1:4" x14ac:dyDescent="0.35">
      <c r="A45" t="s">
        <v>54</v>
      </c>
      <c r="B45" t="str" cm="1">
        <f t="array" aca="1" ref="B45" ca="1">INDEX($F$2:$F$16,RANDBETWEEN(1,15)) &amp; " " &amp; INDEX($G$2:$G$16,RANDBETWEEN(1,15))</f>
        <v>David Jackson</v>
      </c>
      <c r="C45" t="s">
        <v>214</v>
      </c>
      <c r="D45" t="s">
        <v>216</v>
      </c>
    </row>
    <row r="46" spans="1:4" x14ac:dyDescent="0.35">
      <c r="A46" t="s">
        <v>55</v>
      </c>
      <c r="B46" t="str" cm="1">
        <f t="array" aca="1" ref="B46" ca="1">INDEX($F$2:$F$16,RANDBETWEEN(1,15)) &amp; " " &amp; INDEX($G$2:$G$16,RANDBETWEEN(1,15))</f>
        <v>Olivia Jackson</v>
      </c>
      <c r="C46" t="s">
        <v>214</v>
      </c>
      <c r="D46" t="s">
        <v>216</v>
      </c>
    </row>
    <row r="47" spans="1:4" x14ac:dyDescent="0.35">
      <c r="A47" t="s">
        <v>56</v>
      </c>
      <c r="B47" t="str" cm="1">
        <f t="array" aca="1" ref="B47" ca="1">INDEX($F$2:$F$16,RANDBETWEEN(1,15)) &amp; " " &amp; INDEX($G$2:$G$16,RANDBETWEEN(1,15))</f>
        <v>Ava Garcia</v>
      </c>
      <c r="C47" t="s">
        <v>214</v>
      </c>
      <c r="D47" t="s">
        <v>216</v>
      </c>
    </row>
    <row r="48" spans="1:4" x14ac:dyDescent="0.35">
      <c r="A48" t="s">
        <v>57</v>
      </c>
      <c r="B48" t="str" cm="1">
        <f t="array" aca="1" ref="B48" ca="1">INDEX($F$2:$F$16,RANDBETWEEN(1,15)) &amp; " " &amp; INDEX($G$2:$G$16,RANDBETWEEN(1,15))</f>
        <v>Daniel Anderson</v>
      </c>
      <c r="C48" t="s">
        <v>214</v>
      </c>
      <c r="D48" t="s">
        <v>216</v>
      </c>
    </row>
    <row r="49" spans="1:4" x14ac:dyDescent="0.35">
      <c r="A49" t="s">
        <v>58</v>
      </c>
      <c r="B49" t="str" cm="1">
        <f t="array" aca="1" ref="B49" ca="1">INDEX($F$2:$F$16,RANDBETWEEN(1,15)) &amp; " " &amp; INDEX($G$2:$G$16,RANDBETWEEN(1,15))</f>
        <v>Mia Wilson</v>
      </c>
      <c r="C49" t="s">
        <v>214</v>
      </c>
      <c r="D49" t="s">
        <v>216</v>
      </c>
    </row>
    <row r="50" spans="1:4" x14ac:dyDescent="0.35">
      <c r="A50" t="s">
        <v>59</v>
      </c>
      <c r="B50" t="str" cm="1">
        <f t="array" aca="1" ref="B50" ca="1">INDEX($F$2:$F$16,RANDBETWEEN(1,15)) &amp; " " &amp; INDEX($G$2:$G$16,RANDBETWEEN(1,15))</f>
        <v>Ava Davis</v>
      </c>
      <c r="C50" t="s">
        <v>214</v>
      </c>
      <c r="D50" t="s">
        <v>216</v>
      </c>
    </row>
    <row r="51" spans="1:4" x14ac:dyDescent="0.35">
      <c r="A51" t="s">
        <v>60</v>
      </c>
      <c r="B51" t="str" cm="1">
        <f t="array" aca="1" ref="B51" ca="1">INDEX($F$2:$F$16,RANDBETWEEN(1,15)) &amp; " " &amp; INDEX($G$2:$G$16,RANDBETWEEN(1,15))</f>
        <v>John Martin</v>
      </c>
      <c r="C51" t="s">
        <v>214</v>
      </c>
      <c r="D51" t="s">
        <v>216</v>
      </c>
    </row>
    <row r="52" spans="1:4" x14ac:dyDescent="0.35">
      <c r="A52" t="s">
        <v>61</v>
      </c>
      <c r="B52" t="str" cm="1">
        <f t="array" aca="1" ref="B52" ca="1">INDEX($F$2:$F$16,RANDBETWEEN(1,15)) &amp; " " &amp; INDEX($G$2:$G$16,RANDBETWEEN(1,15))</f>
        <v>Ava Smith</v>
      </c>
      <c r="C52" t="s">
        <v>214</v>
      </c>
      <c r="D52" t="s">
        <v>216</v>
      </c>
    </row>
    <row r="53" spans="1:4" x14ac:dyDescent="0.35">
      <c r="A53" t="s">
        <v>62</v>
      </c>
      <c r="B53" t="str" cm="1">
        <f t="array" aca="1" ref="B53" ca="1">INDEX($F$2:$F$16,RANDBETWEEN(1,15)) &amp; " " &amp; INDEX($G$2:$G$16,RANDBETWEEN(1,15))</f>
        <v>Isabella Taylor</v>
      </c>
      <c r="C53" t="s">
        <v>214</v>
      </c>
      <c r="D53" t="s">
        <v>216</v>
      </c>
    </row>
    <row r="54" spans="1:4" x14ac:dyDescent="0.35">
      <c r="A54" t="s">
        <v>63</v>
      </c>
      <c r="B54" t="str" cm="1">
        <f t="array" aca="1" ref="B54" ca="1">INDEX($F$2:$F$16,RANDBETWEEN(1,15)) &amp; " " &amp; INDEX($G$2:$G$16,RANDBETWEEN(1,15))</f>
        <v>John Wilson</v>
      </c>
      <c r="C54" t="s">
        <v>214</v>
      </c>
      <c r="D54" t="s">
        <v>217</v>
      </c>
    </row>
    <row r="55" spans="1:4" x14ac:dyDescent="0.35">
      <c r="A55" t="s">
        <v>64</v>
      </c>
      <c r="B55" t="str" cm="1">
        <f t="array" aca="1" ref="B55" ca="1">INDEX($F$2:$F$16,RANDBETWEEN(1,15)) &amp; " " &amp; INDEX($G$2:$G$16,RANDBETWEEN(1,15))</f>
        <v>Michael Anderson</v>
      </c>
      <c r="C55" t="s">
        <v>214</v>
      </c>
      <c r="D55" t="s">
        <v>217</v>
      </c>
    </row>
    <row r="56" spans="1:4" x14ac:dyDescent="0.35">
      <c r="A56" t="s">
        <v>65</v>
      </c>
      <c r="B56" t="str" cm="1">
        <f t="array" aca="1" ref="B56" ca="1">INDEX($F$2:$F$16,RANDBETWEEN(1,15)) &amp; " " &amp; INDEX($G$2:$G$16,RANDBETWEEN(1,15))</f>
        <v>Sophia Brown</v>
      </c>
      <c r="C56" t="s">
        <v>214</v>
      </c>
      <c r="D56" t="s">
        <v>217</v>
      </c>
    </row>
    <row r="57" spans="1:4" x14ac:dyDescent="0.35">
      <c r="A57" t="s">
        <v>66</v>
      </c>
      <c r="B57" t="str" cm="1">
        <f t="array" aca="1" ref="B57" ca="1">INDEX($F$2:$F$16,RANDBETWEEN(1,15)) &amp; " " &amp; INDEX($G$2:$G$16,RANDBETWEEN(1,15))</f>
        <v>Olivia Moore</v>
      </c>
      <c r="C57" t="s">
        <v>214</v>
      </c>
      <c r="D57" t="s">
        <v>217</v>
      </c>
    </row>
    <row r="58" spans="1:4" x14ac:dyDescent="0.35">
      <c r="A58" t="s">
        <v>67</v>
      </c>
      <c r="B58" t="str" cm="1">
        <f t="array" aca="1" ref="B58" ca="1">INDEX($F$2:$F$16,RANDBETWEEN(1,15)) &amp; " " &amp; INDEX($G$2:$G$16,RANDBETWEEN(1,15))</f>
        <v>Ava Miller</v>
      </c>
      <c r="C58" t="s">
        <v>214</v>
      </c>
      <c r="D58" t="s">
        <v>217</v>
      </c>
    </row>
    <row r="59" spans="1:4" x14ac:dyDescent="0.35">
      <c r="A59" t="s">
        <v>68</v>
      </c>
      <c r="B59" t="str" cm="1">
        <f t="array" aca="1" ref="B59" ca="1">INDEX($F$2:$F$16,RANDBETWEEN(1,15)) &amp; " " &amp; INDEX($G$2:$G$16,RANDBETWEEN(1,15))</f>
        <v>Daniel Thomas</v>
      </c>
      <c r="C59" t="s">
        <v>214</v>
      </c>
      <c r="D59" t="s">
        <v>218</v>
      </c>
    </row>
    <row r="60" spans="1:4" x14ac:dyDescent="0.35">
      <c r="A60" t="s">
        <v>69</v>
      </c>
      <c r="B60" t="str" cm="1">
        <f t="array" aca="1" ref="B60" ca="1">INDEX($F$2:$F$16,RANDBETWEEN(1,15)) &amp; " " &amp; INDEX($G$2:$G$16,RANDBETWEEN(1,15))</f>
        <v>Andrew Smith</v>
      </c>
      <c r="C60" t="s">
        <v>214</v>
      </c>
      <c r="D60" t="s">
        <v>218</v>
      </c>
    </row>
    <row r="61" spans="1:4" x14ac:dyDescent="0.35">
      <c r="A61" t="s">
        <v>70</v>
      </c>
      <c r="B61" t="str" cm="1">
        <f t="array" aca="1" ref="B61" ca="1">INDEX($F$2:$F$16,RANDBETWEEN(1,15)) &amp; " " &amp; INDEX($G$2:$G$16,RANDBETWEEN(1,15))</f>
        <v>Amara Smith</v>
      </c>
      <c r="C61" t="s">
        <v>214</v>
      </c>
      <c r="D61" t="s">
        <v>218</v>
      </c>
    </row>
    <row r="62" spans="1:4" x14ac:dyDescent="0.35">
      <c r="A62" t="s">
        <v>71</v>
      </c>
      <c r="B62" t="str" cm="1">
        <f t="array" aca="1" ref="B62" ca="1">INDEX($F$2:$F$16,RANDBETWEEN(1,15)) &amp; " " &amp; INDEX($G$2:$G$16,RANDBETWEEN(1,15))</f>
        <v>Isabella Taylor</v>
      </c>
      <c r="C62" t="s">
        <v>214</v>
      </c>
      <c r="D62" t="s">
        <v>216</v>
      </c>
    </row>
    <row r="63" spans="1:4" x14ac:dyDescent="0.35">
      <c r="A63" t="s">
        <v>72</v>
      </c>
      <c r="B63" t="str" cm="1">
        <f t="array" aca="1" ref="B63" ca="1">INDEX($F$2:$F$16,RANDBETWEEN(1,15)) &amp; " " &amp; INDEX($G$2:$G$16,RANDBETWEEN(1,15))</f>
        <v>Andrew Jackson</v>
      </c>
      <c r="C63" t="s">
        <v>214</v>
      </c>
      <c r="D63" t="s">
        <v>216</v>
      </c>
    </row>
    <row r="64" spans="1:4" x14ac:dyDescent="0.35">
      <c r="A64" t="s">
        <v>73</v>
      </c>
      <c r="B64" t="str" cm="1">
        <f t="array" aca="1" ref="B64" ca="1">INDEX($F$2:$F$16,RANDBETWEEN(1,15)) &amp; " " &amp; INDEX($G$2:$G$16,RANDBETWEEN(1,15))</f>
        <v>Emma Thomas</v>
      </c>
      <c r="C64" t="s">
        <v>214</v>
      </c>
      <c r="D64" t="s">
        <v>216</v>
      </c>
    </row>
    <row r="65" spans="1:4" x14ac:dyDescent="0.35">
      <c r="A65" t="s">
        <v>74</v>
      </c>
      <c r="B65" t="str" cm="1">
        <f t="array" aca="1" ref="B65" ca="1">INDEX($F$2:$F$16,RANDBETWEEN(1,15)) &amp; " " &amp; INDEX($G$2:$G$16,RANDBETWEEN(1,15))</f>
        <v>Emma Taylor</v>
      </c>
      <c r="C65" t="s">
        <v>214</v>
      </c>
      <c r="D65" t="s">
        <v>216</v>
      </c>
    </row>
    <row r="66" spans="1:4" x14ac:dyDescent="0.35">
      <c r="A66" t="s">
        <v>75</v>
      </c>
      <c r="B66" t="str" cm="1">
        <f t="array" aca="1" ref="B66" ca="1">INDEX($F$2:$F$16,RANDBETWEEN(1,15)) &amp; " " &amp; INDEX($G$2:$G$16,RANDBETWEEN(1,15))</f>
        <v>Sophia Miller</v>
      </c>
      <c r="C66" t="s">
        <v>214</v>
      </c>
      <c r="D66" t="s">
        <v>216</v>
      </c>
    </row>
    <row r="67" spans="1:4" x14ac:dyDescent="0.35">
      <c r="A67" t="s">
        <v>76</v>
      </c>
      <c r="B67" t="str" cm="1">
        <f t="array" aca="1" ref="B67" ca="1">INDEX($F$2:$F$16,RANDBETWEEN(1,15)) &amp; " " &amp; INDEX($G$2:$G$16,RANDBETWEEN(1,15))</f>
        <v>Olivia Taylor</v>
      </c>
      <c r="C67" t="s">
        <v>214</v>
      </c>
      <c r="D67" t="s">
        <v>216</v>
      </c>
    </row>
    <row r="68" spans="1:4" x14ac:dyDescent="0.35">
      <c r="A68" t="s">
        <v>77</v>
      </c>
      <c r="B68" t="str" cm="1">
        <f t="array" aca="1" ref="B68" ca="1">INDEX($F$2:$F$16,RANDBETWEEN(1,15)) &amp; " " &amp; INDEX($G$2:$G$16,RANDBETWEEN(1,15))</f>
        <v>Amara Thomas</v>
      </c>
      <c r="C68" t="s">
        <v>214</v>
      </c>
      <c r="D68" t="s">
        <v>216</v>
      </c>
    </row>
    <row r="69" spans="1:4" x14ac:dyDescent="0.35">
      <c r="A69" t="s">
        <v>78</v>
      </c>
      <c r="B69" t="str" cm="1">
        <f t="array" aca="1" ref="B69" ca="1">INDEX($F$2:$F$16,RANDBETWEEN(1,15)) &amp; " " &amp; INDEX($G$2:$G$16,RANDBETWEEN(1,15))</f>
        <v>Michael Davis</v>
      </c>
      <c r="C69" t="s">
        <v>214</v>
      </c>
      <c r="D69" t="s">
        <v>216</v>
      </c>
    </row>
    <row r="70" spans="1:4" x14ac:dyDescent="0.35">
      <c r="A70" t="s">
        <v>79</v>
      </c>
      <c r="B70" t="str" cm="1">
        <f t="array" aca="1" ref="B70" ca="1">INDEX($F$2:$F$16,RANDBETWEEN(1,15)) &amp; " " &amp; INDEX($G$2:$G$16,RANDBETWEEN(1,15))</f>
        <v>Andrew Moore</v>
      </c>
      <c r="C70" t="s">
        <v>214</v>
      </c>
      <c r="D70" t="s">
        <v>216</v>
      </c>
    </row>
    <row r="71" spans="1:4" x14ac:dyDescent="0.35">
      <c r="A71" t="s">
        <v>80</v>
      </c>
      <c r="B71" t="str" cm="1">
        <f t="array" aca="1" ref="B71" ca="1">INDEX($F$2:$F$16,RANDBETWEEN(1,15)) &amp; " " &amp; INDEX($G$2:$G$16,RANDBETWEEN(1,15))</f>
        <v>Amara Anderson</v>
      </c>
      <c r="C71" t="s">
        <v>214</v>
      </c>
      <c r="D71" t="s">
        <v>216</v>
      </c>
    </row>
    <row r="72" spans="1:4" x14ac:dyDescent="0.35">
      <c r="A72" t="s">
        <v>81</v>
      </c>
      <c r="B72" t="str" cm="1">
        <f t="array" aca="1" ref="B72" ca="1">INDEX($F$2:$F$16,RANDBETWEEN(1,15)) &amp; " " &amp; INDEX($G$2:$G$16,RANDBETWEEN(1,15))</f>
        <v>Mia Johnson</v>
      </c>
      <c r="C72" t="s">
        <v>214</v>
      </c>
      <c r="D72" t="s">
        <v>216</v>
      </c>
    </row>
    <row r="73" spans="1:4" x14ac:dyDescent="0.35">
      <c r="A73" t="s">
        <v>82</v>
      </c>
      <c r="B73" t="str" cm="1">
        <f t="array" aca="1" ref="B73" ca="1">INDEX($F$2:$F$16,RANDBETWEEN(1,15)) &amp; " " &amp; INDEX($G$2:$G$16,RANDBETWEEN(1,15))</f>
        <v>Olivia Thomas</v>
      </c>
      <c r="C73" t="s">
        <v>214</v>
      </c>
      <c r="D73" t="s">
        <v>216</v>
      </c>
    </row>
    <row r="74" spans="1:4" x14ac:dyDescent="0.35">
      <c r="A74" t="s">
        <v>83</v>
      </c>
      <c r="B74" t="str" cm="1">
        <f t="array" aca="1" ref="B74" ca="1">INDEX($F$2:$F$16,RANDBETWEEN(1,15)) &amp; " " &amp; INDEX($G$2:$G$16,RANDBETWEEN(1,15))</f>
        <v>Chris Garcia</v>
      </c>
      <c r="C74" t="s">
        <v>214</v>
      </c>
      <c r="D74" t="s">
        <v>217</v>
      </c>
    </row>
    <row r="75" spans="1:4" x14ac:dyDescent="0.35">
      <c r="A75" t="s">
        <v>84</v>
      </c>
      <c r="B75" t="str" cm="1">
        <f t="array" aca="1" ref="B75" ca="1">INDEX($F$2:$F$16,RANDBETWEEN(1,15)) &amp; " " &amp; INDEX($G$2:$G$16,RANDBETWEEN(1,15))</f>
        <v>David Brown</v>
      </c>
      <c r="C75" t="s">
        <v>214</v>
      </c>
      <c r="D75" t="s">
        <v>217</v>
      </c>
    </row>
    <row r="76" spans="1:4" x14ac:dyDescent="0.35">
      <c r="A76" t="s">
        <v>85</v>
      </c>
      <c r="B76" t="str" cm="1">
        <f t="array" aca="1" ref="B76" ca="1">INDEX($F$2:$F$16,RANDBETWEEN(1,15)) &amp; " " &amp; INDEX($G$2:$G$16,RANDBETWEEN(1,15))</f>
        <v>Mia Miller</v>
      </c>
      <c r="C76" t="s">
        <v>214</v>
      </c>
      <c r="D76" t="s">
        <v>217</v>
      </c>
    </row>
    <row r="77" spans="1:4" x14ac:dyDescent="0.35">
      <c r="A77" t="s">
        <v>86</v>
      </c>
      <c r="B77" t="str" cm="1">
        <f t="array" aca="1" ref="B77" ca="1">INDEX($F$2:$F$16,RANDBETWEEN(1,15)) &amp; " " &amp; INDEX($G$2:$G$16,RANDBETWEEN(1,15))</f>
        <v>Daniel Jones</v>
      </c>
      <c r="C77" t="s">
        <v>214</v>
      </c>
      <c r="D77" t="s">
        <v>217</v>
      </c>
    </row>
    <row r="78" spans="1:4" x14ac:dyDescent="0.35">
      <c r="A78" t="s">
        <v>87</v>
      </c>
      <c r="B78" t="str" cm="1">
        <f t="array" aca="1" ref="B78" ca="1">INDEX($F$2:$F$16,RANDBETWEEN(1,15)) &amp; " " &amp; INDEX($G$2:$G$16,RANDBETWEEN(1,15))</f>
        <v>Emma Jackson</v>
      </c>
      <c r="C78" t="s">
        <v>214</v>
      </c>
      <c r="D78" t="s">
        <v>217</v>
      </c>
    </row>
    <row r="79" spans="1:4" x14ac:dyDescent="0.35">
      <c r="A79" t="s">
        <v>88</v>
      </c>
      <c r="B79" t="str" cm="1">
        <f t="array" aca="1" ref="B79" ca="1">INDEX($F$2:$F$16,RANDBETWEEN(1,15)) &amp; " " &amp; INDEX($G$2:$G$16,RANDBETWEEN(1,15))</f>
        <v>John Thomas</v>
      </c>
      <c r="C79" t="s">
        <v>214</v>
      </c>
      <c r="D79" t="s">
        <v>218</v>
      </c>
    </row>
    <row r="80" spans="1:4" x14ac:dyDescent="0.35">
      <c r="A80" t="s">
        <v>89</v>
      </c>
      <c r="B80" t="str" cm="1">
        <f t="array" aca="1" ref="B80" ca="1">INDEX($F$2:$F$16,RANDBETWEEN(1,15)) &amp; " " &amp; INDEX($G$2:$G$16,RANDBETWEEN(1,15))</f>
        <v>David Smith</v>
      </c>
      <c r="C80" t="s">
        <v>214</v>
      </c>
      <c r="D80" t="s">
        <v>218</v>
      </c>
    </row>
    <row r="81" spans="1:4" x14ac:dyDescent="0.35">
      <c r="A81" t="s">
        <v>90</v>
      </c>
      <c r="B81" t="str" cm="1">
        <f t="array" aca="1" ref="B81" ca="1">INDEX($F$2:$F$16,RANDBETWEEN(1,15)) &amp; " " &amp; INDEX($G$2:$G$16,RANDBETWEEN(1,15))</f>
        <v>Olivia Anderson</v>
      </c>
      <c r="C81" t="s">
        <v>214</v>
      </c>
      <c r="D81" t="s">
        <v>218</v>
      </c>
    </row>
    <row r="82" spans="1:4" x14ac:dyDescent="0.35">
      <c r="A82" t="s">
        <v>91</v>
      </c>
      <c r="B82" t="str" cm="1">
        <f t="array" aca="1" ref="B82" ca="1">INDEX($F$2:$F$16,RANDBETWEEN(1,15)) &amp; " " &amp; INDEX($G$2:$G$16,RANDBETWEEN(1,15))</f>
        <v>Mia Wilson</v>
      </c>
      <c r="C82" t="s">
        <v>214</v>
      </c>
      <c r="D82" t="s">
        <v>216</v>
      </c>
    </row>
    <row r="83" spans="1:4" x14ac:dyDescent="0.35">
      <c r="A83" t="s">
        <v>92</v>
      </c>
      <c r="B83" t="str" cm="1">
        <f t="array" aca="1" ref="B83" ca="1">INDEX($F$2:$F$16,RANDBETWEEN(1,15)) &amp; " " &amp; INDEX($G$2:$G$16,RANDBETWEEN(1,15))</f>
        <v>Michael Miller</v>
      </c>
      <c r="C83" t="s">
        <v>213</v>
      </c>
      <c r="D83" t="s">
        <v>216</v>
      </c>
    </row>
    <row r="84" spans="1:4" x14ac:dyDescent="0.35">
      <c r="A84" t="s">
        <v>93</v>
      </c>
      <c r="B84" t="str" cm="1">
        <f t="array" aca="1" ref="B84" ca="1">INDEX($F$2:$F$16,RANDBETWEEN(1,15)) &amp; " " &amp; INDEX($G$2:$G$16,RANDBETWEEN(1,15))</f>
        <v>Ava Jones</v>
      </c>
      <c r="C84" t="s">
        <v>213</v>
      </c>
      <c r="D84" t="s">
        <v>216</v>
      </c>
    </row>
    <row r="85" spans="1:4" x14ac:dyDescent="0.35">
      <c r="A85" t="s">
        <v>94</v>
      </c>
      <c r="B85" t="str" cm="1">
        <f t="array" aca="1" ref="B85" ca="1">INDEX($F$2:$F$16,RANDBETWEEN(1,15)) &amp; " " &amp; INDEX($G$2:$G$16,RANDBETWEEN(1,15))</f>
        <v>David Martin</v>
      </c>
      <c r="C85" t="s">
        <v>213</v>
      </c>
      <c r="D85" t="s">
        <v>216</v>
      </c>
    </row>
    <row r="86" spans="1:4" x14ac:dyDescent="0.35">
      <c r="A86" t="s">
        <v>95</v>
      </c>
      <c r="B86" t="str" cm="1">
        <f t="array" aca="1" ref="B86" ca="1">INDEX($F$2:$F$16,RANDBETWEEN(1,15)) &amp; " " &amp; INDEX($G$2:$G$16,RANDBETWEEN(1,15))</f>
        <v>John Davis</v>
      </c>
      <c r="C86" t="s">
        <v>213</v>
      </c>
      <c r="D86" t="s">
        <v>216</v>
      </c>
    </row>
    <row r="87" spans="1:4" x14ac:dyDescent="0.35">
      <c r="A87" t="s">
        <v>96</v>
      </c>
      <c r="B87" t="str" cm="1">
        <f t="array" aca="1" ref="B87" ca="1">INDEX($F$2:$F$16,RANDBETWEEN(1,15)) &amp; " " &amp; INDEX($G$2:$G$16,RANDBETWEEN(1,15))</f>
        <v>Noah Williams</v>
      </c>
      <c r="C87" t="s">
        <v>213</v>
      </c>
      <c r="D87" t="s">
        <v>216</v>
      </c>
    </row>
    <row r="88" spans="1:4" x14ac:dyDescent="0.35">
      <c r="A88" t="s">
        <v>97</v>
      </c>
      <c r="B88" t="str" cm="1">
        <f t="array" aca="1" ref="B88" ca="1">INDEX($F$2:$F$16,RANDBETWEEN(1,15)) &amp; " " &amp; INDEX($G$2:$G$16,RANDBETWEEN(1,15))</f>
        <v>John Jackson</v>
      </c>
      <c r="C88" t="s">
        <v>213</v>
      </c>
      <c r="D88" t="s">
        <v>216</v>
      </c>
    </row>
    <row r="89" spans="1:4" x14ac:dyDescent="0.35">
      <c r="A89" t="s">
        <v>98</v>
      </c>
      <c r="B89" t="str" cm="1">
        <f t="array" aca="1" ref="B89" ca="1">INDEX($F$2:$F$16,RANDBETWEEN(1,15)) &amp; " " &amp; INDEX($G$2:$G$16,RANDBETWEEN(1,15))</f>
        <v>Ava Johnson</v>
      </c>
      <c r="C89" t="s">
        <v>213</v>
      </c>
      <c r="D89" t="s">
        <v>216</v>
      </c>
    </row>
    <row r="90" spans="1:4" x14ac:dyDescent="0.35">
      <c r="A90" t="s">
        <v>99</v>
      </c>
      <c r="B90" t="str" cm="1">
        <f t="array" aca="1" ref="B90" ca="1">INDEX($F$2:$F$16,RANDBETWEEN(1,15)) &amp; " " &amp; INDEX($G$2:$G$16,RANDBETWEEN(1,15))</f>
        <v>Isabella Davis</v>
      </c>
      <c r="C90" t="s">
        <v>213</v>
      </c>
      <c r="D90" t="s">
        <v>216</v>
      </c>
    </row>
    <row r="91" spans="1:4" x14ac:dyDescent="0.35">
      <c r="A91" t="s">
        <v>100</v>
      </c>
      <c r="B91" t="str" cm="1">
        <f t="array" aca="1" ref="B91" ca="1">INDEX($F$2:$F$16,RANDBETWEEN(1,15)) &amp; " " &amp; INDEX($G$2:$G$16,RANDBETWEEN(1,15))</f>
        <v>Sophia Garcia</v>
      </c>
      <c r="C91" t="s">
        <v>213</v>
      </c>
      <c r="D91" t="s">
        <v>216</v>
      </c>
    </row>
    <row r="92" spans="1:4" x14ac:dyDescent="0.35">
      <c r="A92" t="s">
        <v>101</v>
      </c>
      <c r="B92" t="str" cm="1">
        <f t="array" aca="1" ref="B92" ca="1">INDEX($F$2:$F$16,RANDBETWEEN(1,15)) &amp; " " &amp; INDEX($G$2:$G$16,RANDBETWEEN(1,15))</f>
        <v>David Jackson</v>
      </c>
      <c r="C92" t="s">
        <v>213</v>
      </c>
      <c r="D92" t="s">
        <v>216</v>
      </c>
    </row>
    <row r="93" spans="1:4" x14ac:dyDescent="0.35">
      <c r="A93" t="s">
        <v>102</v>
      </c>
      <c r="B93" t="str" cm="1">
        <f t="array" aca="1" ref="B93" ca="1">INDEX($F$2:$F$16,RANDBETWEEN(1,15)) &amp; " " &amp; INDEX($G$2:$G$16,RANDBETWEEN(1,15))</f>
        <v>Isabella Garcia</v>
      </c>
      <c r="C93" t="s">
        <v>212</v>
      </c>
      <c r="D93" t="s">
        <v>216</v>
      </c>
    </row>
    <row r="94" spans="1:4" x14ac:dyDescent="0.35">
      <c r="A94" t="s">
        <v>103</v>
      </c>
      <c r="B94" t="str" cm="1">
        <f t="array" aca="1" ref="B94" ca="1">INDEX($F$2:$F$16,RANDBETWEEN(1,15)) &amp; " " &amp; INDEX($G$2:$G$16,RANDBETWEEN(1,15))</f>
        <v>Mia Miller</v>
      </c>
      <c r="C94" t="s">
        <v>212</v>
      </c>
      <c r="D94" t="s">
        <v>217</v>
      </c>
    </row>
    <row r="95" spans="1:4" x14ac:dyDescent="0.35">
      <c r="A95" t="s">
        <v>104</v>
      </c>
      <c r="B95" t="str" cm="1">
        <f t="array" aca="1" ref="B95" ca="1">INDEX($F$2:$F$16,RANDBETWEEN(1,15)) &amp; " " &amp; INDEX($G$2:$G$16,RANDBETWEEN(1,15))</f>
        <v>Daniel Jones</v>
      </c>
      <c r="C95" t="s">
        <v>212</v>
      </c>
      <c r="D95" t="s">
        <v>217</v>
      </c>
    </row>
    <row r="96" spans="1:4" x14ac:dyDescent="0.35">
      <c r="A96" t="s">
        <v>105</v>
      </c>
      <c r="B96" t="str" cm="1">
        <f t="array" aca="1" ref="B96" ca="1">INDEX($F$2:$F$16,RANDBETWEEN(1,15)) &amp; " " &amp; INDEX($G$2:$G$16,RANDBETWEEN(1,15))</f>
        <v>Emma Martin</v>
      </c>
      <c r="C96" t="s">
        <v>212</v>
      </c>
      <c r="D96" t="s">
        <v>217</v>
      </c>
    </row>
    <row r="97" spans="1:4" x14ac:dyDescent="0.35">
      <c r="A97" t="s">
        <v>106</v>
      </c>
      <c r="B97" t="str" cm="1">
        <f t="array" aca="1" ref="B97" ca="1">INDEX($F$2:$F$16,RANDBETWEEN(1,15)) &amp; " " &amp; INDEX($G$2:$G$16,RANDBETWEEN(1,15))</f>
        <v>James Thomas</v>
      </c>
      <c r="C97" t="s">
        <v>212</v>
      </c>
      <c r="D97" t="s">
        <v>217</v>
      </c>
    </row>
    <row r="98" spans="1:4" x14ac:dyDescent="0.35">
      <c r="A98" t="s">
        <v>107</v>
      </c>
      <c r="B98" t="str" cm="1">
        <f t="array" aca="1" ref="B98" ca="1">INDEX($F$2:$F$16,RANDBETWEEN(1,15)) &amp; " " &amp; INDEX($G$2:$G$16,RANDBETWEEN(1,15))</f>
        <v>Chris Thomas</v>
      </c>
      <c r="C98" t="s">
        <v>211</v>
      </c>
      <c r="D98" t="s">
        <v>217</v>
      </c>
    </row>
    <row r="99" spans="1:4" x14ac:dyDescent="0.35">
      <c r="A99" t="s">
        <v>108</v>
      </c>
      <c r="B99" t="str" cm="1">
        <f t="array" aca="1" ref="B99" ca="1">INDEX($F$2:$F$16,RANDBETWEEN(1,15)) &amp; " " &amp; INDEX($G$2:$G$16,RANDBETWEEN(1,15))</f>
        <v>Amara Moore</v>
      </c>
      <c r="C99" t="s">
        <v>211</v>
      </c>
      <c r="D99" t="s">
        <v>218</v>
      </c>
    </row>
    <row r="100" spans="1:4" x14ac:dyDescent="0.35">
      <c r="A100" t="s">
        <v>109</v>
      </c>
      <c r="B100" t="str" cm="1">
        <f t="array" aca="1" ref="B100" ca="1">INDEX($F$2:$F$16,RANDBETWEEN(1,15)) &amp; " " &amp; INDEX($G$2:$G$16,RANDBETWEEN(1,15))</f>
        <v>Olivia Jones</v>
      </c>
      <c r="C100" t="s">
        <v>211</v>
      </c>
      <c r="D100" t="s">
        <v>218</v>
      </c>
    </row>
    <row r="101" spans="1:4" x14ac:dyDescent="0.35">
      <c r="A101" t="s">
        <v>110</v>
      </c>
      <c r="B101" t="str" cm="1">
        <f t="array" aca="1" ref="B101" ca="1">INDEX($F$2:$F$16,RANDBETWEEN(1,15)) &amp; " " &amp; INDEX($G$2:$G$16,RANDBETWEEN(1,15))</f>
        <v>Mia Miller</v>
      </c>
      <c r="C101" t="s">
        <v>213</v>
      </c>
      <c r="D101" t="s">
        <v>218</v>
      </c>
    </row>
    <row r="102" spans="1:4" x14ac:dyDescent="0.35">
      <c r="A102" t="s">
        <v>111</v>
      </c>
      <c r="B102" t="str" cm="1">
        <f t="array" aca="1" ref="B102" ca="1">INDEX($F$2:$F$16,RANDBETWEEN(1,15)) &amp; " " &amp; INDEX($G$2:$G$16,RANDBETWEEN(1,15))</f>
        <v>John Moore</v>
      </c>
      <c r="C102" t="s">
        <v>214</v>
      </c>
      <c r="D102" t="s">
        <v>216</v>
      </c>
    </row>
    <row r="103" spans="1:4" x14ac:dyDescent="0.35">
      <c r="A103" t="s">
        <v>112</v>
      </c>
      <c r="B103" t="str" cm="1">
        <f t="array" aca="1" ref="B103" ca="1">INDEX($F$2:$F$16,RANDBETWEEN(1,15)) &amp; " " &amp; INDEX($G$2:$G$16,RANDBETWEEN(1,15))</f>
        <v>John Martin</v>
      </c>
      <c r="C103" t="s">
        <v>214</v>
      </c>
      <c r="D103" t="s">
        <v>216</v>
      </c>
    </row>
    <row r="104" spans="1:4" x14ac:dyDescent="0.35">
      <c r="A104" t="s">
        <v>113</v>
      </c>
      <c r="B104" t="str" cm="1">
        <f t="array" aca="1" ref="B104" ca="1">INDEX($F$2:$F$16,RANDBETWEEN(1,15)) &amp; " " &amp; INDEX($G$2:$G$16,RANDBETWEEN(1,15))</f>
        <v>Sophia Johnson</v>
      </c>
      <c r="C104" t="s">
        <v>212</v>
      </c>
      <c r="D104" t="s">
        <v>216</v>
      </c>
    </row>
    <row r="105" spans="1:4" x14ac:dyDescent="0.35">
      <c r="A105" t="s">
        <v>114</v>
      </c>
      <c r="B105" t="str" cm="1">
        <f t="array" aca="1" ref="B105" ca="1">INDEX($F$2:$F$16,RANDBETWEEN(1,15)) &amp; " " &amp; INDEX($G$2:$G$16,RANDBETWEEN(1,15))</f>
        <v>Noah Taylor</v>
      </c>
      <c r="C105" t="s">
        <v>212</v>
      </c>
      <c r="D105" t="s">
        <v>216</v>
      </c>
    </row>
    <row r="106" spans="1:4" x14ac:dyDescent="0.35">
      <c r="A106" t="s">
        <v>115</v>
      </c>
      <c r="B106" t="str" cm="1">
        <f t="array" aca="1" ref="B106" ca="1">INDEX($F$2:$F$16,RANDBETWEEN(1,15)) &amp; " " &amp; INDEX($G$2:$G$16,RANDBETWEEN(1,15))</f>
        <v>Mia Taylor</v>
      </c>
      <c r="C106" t="s">
        <v>213</v>
      </c>
      <c r="D106" t="s">
        <v>216</v>
      </c>
    </row>
    <row r="107" spans="1:4" x14ac:dyDescent="0.35">
      <c r="A107" t="s">
        <v>116</v>
      </c>
      <c r="B107" t="str" cm="1">
        <f t="array" aca="1" ref="B107" ca="1">INDEX($F$2:$F$16,RANDBETWEEN(1,15)) &amp; " " &amp; INDEX($G$2:$G$16,RANDBETWEEN(1,15))</f>
        <v>Emma Taylor</v>
      </c>
      <c r="C107" t="s">
        <v>212</v>
      </c>
      <c r="D107" t="s">
        <v>216</v>
      </c>
    </row>
    <row r="108" spans="1:4" x14ac:dyDescent="0.35">
      <c r="A108" t="s">
        <v>117</v>
      </c>
      <c r="B108" t="str" cm="1">
        <f t="array" aca="1" ref="B108" ca="1">INDEX($F$2:$F$16,RANDBETWEEN(1,15)) &amp; " " &amp; INDEX($G$2:$G$16,RANDBETWEEN(1,15))</f>
        <v>Emma Martin</v>
      </c>
      <c r="C108" t="s">
        <v>212</v>
      </c>
      <c r="D108" t="s">
        <v>216</v>
      </c>
    </row>
    <row r="109" spans="1:4" x14ac:dyDescent="0.35">
      <c r="A109" t="s">
        <v>118</v>
      </c>
      <c r="B109" t="str" cm="1">
        <f t="array" aca="1" ref="B109" ca="1">INDEX($F$2:$F$16,RANDBETWEEN(1,15)) &amp; " " &amp; INDEX($G$2:$G$16,RANDBETWEEN(1,15))</f>
        <v>David Johnson</v>
      </c>
      <c r="C109" t="s">
        <v>214</v>
      </c>
      <c r="D109" t="s">
        <v>216</v>
      </c>
    </row>
    <row r="110" spans="1:4" x14ac:dyDescent="0.35">
      <c r="A110" t="s">
        <v>119</v>
      </c>
      <c r="B110" t="str" cm="1">
        <f t="array" aca="1" ref="B110" ca="1">INDEX($F$2:$F$16,RANDBETWEEN(1,15)) &amp; " " &amp; INDEX($G$2:$G$16,RANDBETWEEN(1,15))</f>
        <v>John Garcia</v>
      </c>
      <c r="C110" t="s">
        <v>214</v>
      </c>
      <c r="D110" t="s">
        <v>216</v>
      </c>
    </row>
    <row r="111" spans="1:4" x14ac:dyDescent="0.35">
      <c r="A111" t="s">
        <v>120</v>
      </c>
      <c r="B111" t="str" cm="1">
        <f t="array" aca="1" ref="B111" ca="1">INDEX($F$2:$F$16,RANDBETWEEN(1,15)) &amp; " " &amp; INDEX($G$2:$G$16,RANDBETWEEN(1,15))</f>
        <v>Mia Taylor</v>
      </c>
      <c r="C111" t="s">
        <v>213</v>
      </c>
      <c r="D111" t="s">
        <v>216</v>
      </c>
    </row>
    <row r="112" spans="1:4" x14ac:dyDescent="0.35">
      <c r="A112" t="s">
        <v>121</v>
      </c>
      <c r="B112" t="str" cm="1">
        <f t="array" aca="1" ref="B112" ca="1">INDEX($F$2:$F$16,RANDBETWEEN(1,15)) &amp; " " &amp; INDEX($G$2:$G$16,RANDBETWEEN(1,15))</f>
        <v>David Garcia</v>
      </c>
      <c r="C112" t="s">
        <v>213</v>
      </c>
      <c r="D112" t="s">
        <v>216</v>
      </c>
    </row>
    <row r="113" spans="1:4" x14ac:dyDescent="0.35">
      <c r="A113" t="s">
        <v>122</v>
      </c>
      <c r="B113" t="str" cm="1">
        <f t="array" aca="1" ref="B113" ca="1">INDEX($F$2:$F$16,RANDBETWEEN(1,15)) &amp; " " &amp; INDEX($G$2:$G$16,RANDBETWEEN(1,15))</f>
        <v>Olivia Brown</v>
      </c>
      <c r="C113" t="s">
        <v>213</v>
      </c>
      <c r="D113" t="s">
        <v>216</v>
      </c>
    </row>
    <row r="114" spans="1:4" x14ac:dyDescent="0.35">
      <c r="A114" t="s">
        <v>123</v>
      </c>
      <c r="B114" t="str" cm="1">
        <f t="array" aca="1" ref="B114" ca="1">INDEX($F$2:$F$16,RANDBETWEEN(1,15)) &amp; " " &amp; INDEX($G$2:$G$16,RANDBETWEEN(1,15))</f>
        <v>Mia Moore</v>
      </c>
      <c r="C114" t="s">
        <v>213</v>
      </c>
      <c r="D114" t="s">
        <v>217</v>
      </c>
    </row>
    <row r="115" spans="1:4" x14ac:dyDescent="0.35">
      <c r="A115" t="s">
        <v>124</v>
      </c>
      <c r="B115" t="str" cm="1">
        <f t="array" aca="1" ref="B115" ca="1">INDEX($F$2:$F$16,RANDBETWEEN(1,15)) &amp; " " &amp; INDEX($G$2:$G$16,RANDBETWEEN(1,15))</f>
        <v>Isabella Brown</v>
      </c>
      <c r="C115" t="s">
        <v>214</v>
      </c>
      <c r="D115" t="s">
        <v>217</v>
      </c>
    </row>
    <row r="116" spans="1:4" x14ac:dyDescent="0.35">
      <c r="A116" t="s">
        <v>125</v>
      </c>
      <c r="B116" t="str" cm="1">
        <f t="array" aca="1" ref="B116" ca="1">INDEX($F$2:$F$16,RANDBETWEEN(1,15)) &amp; " " &amp; INDEX($G$2:$G$16,RANDBETWEEN(1,15))</f>
        <v>Mia Jackson</v>
      </c>
      <c r="C116" t="s">
        <v>214</v>
      </c>
      <c r="D116" t="s">
        <v>217</v>
      </c>
    </row>
    <row r="117" spans="1:4" x14ac:dyDescent="0.35">
      <c r="A117" t="s">
        <v>126</v>
      </c>
      <c r="B117" t="str" cm="1">
        <f t="array" aca="1" ref="B117" ca="1">INDEX($F$2:$F$16,RANDBETWEEN(1,15)) &amp; " " &amp; INDEX($G$2:$G$16,RANDBETWEEN(1,15))</f>
        <v>David Davis</v>
      </c>
      <c r="C117" t="s">
        <v>212</v>
      </c>
      <c r="D117" t="s">
        <v>217</v>
      </c>
    </row>
    <row r="118" spans="1:4" x14ac:dyDescent="0.35">
      <c r="A118" t="s">
        <v>127</v>
      </c>
      <c r="B118" t="str" cm="1">
        <f t="array" aca="1" ref="B118" ca="1">INDEX($F$2:$F$16,RANDBETWEEN(1,15)) &amp; " " &amp; INDEX($G$2:$G$16,RANDBETWEEN(1,15))</f>
        <v>Chris Martin</v>
      </c>
      <c r="C118" t="s">
        <v>212</v>
      </c>
      <c r="D118" t="s">
        <v>217</v>
      </c>
    </row>
    <row r="119" spans="1:4" x14ac:dyDescent="0.35">
      <c r="A119" t="s">
        <v>128</v>
      </c>
      <c r="B119" t="str" cm="1">
        <f t="array" aca="1" ref="B119" ca="1">INDEX($F$2:$F$16,RANDBETWEEN(1,15)) &amp; " " &amp; INDEX($G$2:$G$16,RANDBETWEEN(1,15))</f>
        <v>Michael Garcia</v>
      </c>
      <c r="C119" t="s">
        <v>212</v>
      </c>
      <c r="D119" t="s">
        <v>218</v>
      </c>
    </row>
    <row r="120" spans="1:4" x14ac:dyDescent="0.35">
      <c r="A120" t="s">
        <v>129</v>
      </c>
      <c r="B120" t="str" cm="1">
        <f t="array" aca="1" ref="B120" ca="1">INDEX($F$2:$F$16,RANDBETWEEN(1,15)) &amp; " " &amp; INDEX($G$2:$G$16,RANDBETWEEN(1,15))</f>
        <v>James Anderson</v>
      </c>
      <c r="C120" t="s">
        <v>213</v>
      </c>
      <c r="D120" t="s">
        <v>218</v>
      </c>
    </row>
    <row r="121" spans="1:4" x14ac:dyDescent="0.35">
      <c r="A121" t="s">
        <v>130</v>
      </c>
      <c r="B121" t="str" cm="1">
        <f t="array" aca="1" ref="B121" ca="1">INDEX($F$2:$F$16,RANDBETWEEN(1,15)) &amp; " " &amp; INDEX($G$2:$G$16,RANDBETWEEN(1,15))</f>
        <v>Isabella Brown</v>
      </c>
      <c r="C121" t="s">
        <v>213</v>
      </c>
      <c r="D121" t="s">
        <v>218</v>
      </c>
    </row>
    <row r="122" spans="1:4" x14ac:dyDescent="0.35">
      <c r="A122" t="s">
        <v>131</v>
      </c>
      <c r="B122" t="str" cm="1">
        <f t="array" aca="1" ref="B122" ca="1">INDEX($F$2:$F$16,RANDBETWEEN(1,15)) &amp; " " &amp; INDEX($G$2:$G$16,RANDBETWEEN(1,15))</f>
        <v>Ava Jackson</v>
      </c>
      <c r="C122" t="s">
        <v>213</v>
      </c>
      <c r="D122" t="s">
        <v>216</v>
      </c>
    </row>
    <row r="123" spans="1:4" x14ac:dyDescent="0.35">
      <c r="A123" t="s">
        <v>132</v>
      </c>
      <c r="B123" t="str" cm="1">
        <f t="array" aca="1" ref="B123" ca="1">INDEX($F$2:$F$16,RANDBETWEEN(1,15)) &amp; " " &amp; INDEX($G$2:$G$16,RANDBETWEEN(1,15))</f>
        <v>Daniel Jones</v>
      </c>
      <c r="C123" t="s">
        <v>213</v>
      </c>
      <c r="D123" t="s">
        <v>216</v>
      </c>
    </row>
    <row r="124" spans="1:4" x14ac:dyDescent="0.35">
      <c r="A124" t="s">
        <v>133</v>
      </c>
      <c r="B124" t="str" cm="1">
        <f t="array" aca="1" ref="B124" ca="1">INDEX($F$2:$F$16,RANDBETWEEN(1,15)) &amp; " " &amp; INDEX($G$2:$G$16,RANDBETWEEN(1,15))</f>
        <v>Amara Thomas</v>
      </c>
      <c r="C124" t="s">
        <v>213</v>
      </c>
      <c r="D124" t="s">
        <v>216</v>
      </c>
    </row>
    <row r="125" spans="1:4" x14ac:dyDescent="0.35">
      <c r="A125" t="s">
        <v>134</v>
      </c>
      <c r="B125" t="str" cm="1">
        <f t="array" aca="1" ref="B125" ca="1">INDEX($F$2:$F$16,RANDBETWEEN(1,15)) &amp; " " &amp; INDEX($G$2:$G$16,RANDBETWEEN(1,15))</f>
        <v>Emma Jackson</v>
      </c>
      <c r="C125" t="s">
        <v>213</v>
      </c>
      <c r="D125" t="s">
        <v>216</v>
      </c>
    </row>
    <row r="126" spans="1:4" x14ac:dyDescent="0.35">
      <c r="A126" t="s">
        <v>135</v>
      </c>
      <c r="B126" t="str" cm="1">
        <f t="array" aca="1" ref="B126" ca="1">INDEX($F$2:$F$16,RANDBETWEEN(1,15)) &amp; " " &amp; INDEX($G$2:$G$16,RANDBETWEEN(1,15))</f>
        <v>Olivia Thomas</v>
      </c>
      <c r="C126" t="s">
        <v>213</v>
      </c>
      <c r="D126" t="s">
        <v>216</v>
      </c>
    </row>
    <row r="127" spans="1:4" x14ac:dyDescent="0.35">
      <c r="A127" t="s">
        <v>136</v>
      </c>
      <c r="B127" t="str" cm="1">
        <f t="array" aca="1" ref="B127" ca="1">INDEX($F$2:$F$16,RANDBETWEEN(1,15)) &amp; " " &amp; INDEX($G$2:$G$16,RANDBETWEEN(1,15))</f>
        <v>Daniel Davis</v>
      </c>
      <c r="C127" t="s">
        <v>213</v>
      </c>
      <c r="D127" t="s">
        <v>216</v>
      </c>
    </row>
    <row r="128" spans="1:4" x14ac:dyDescent="0.35">
      <c r="A128" t="s">
        <v>137</v>
      </c>
      <c r="B128" t="str" cm="1">
        <f t="array" aca="1" ref="B128" ca="1">INDEX($F$2:$F$16,RANDBETWEEN(1,15)) &amp; " " &amp; INDEX($G$2:$G$16,RANDBETWEEN(1,15))</f>
        <v>Emma Jackson</v>
      </c>
      <c r="C128" t="s">
        <v>213</v>
      </c>
      <c r="D128" t="s">
        <v>216</v>
      </c>
    </row>
    <row r="129" spans="1:4" x14ac:dyDescent="0.35">
      <c r="A129" t="s">
        <v>138</v>
      </c>
      <c r="B129" t="str" cm="1">
        <f t="array" aca="1" ref="B129" ca="1">INDEX($F$2:$F$16,RANDBETWEEN(1,15)) &amp; " " &amp; INDEX($G$2:$G$16,RANDBETWEEN(1,15))</f>
        <v>Isabella Jackson</v>
      </c>
      <c r="C129" t="s">
        <v>214</v>
      </c>
      <c r="D129" t="s">
        <v>216</v>
      </c>
    </row>
    <row r="130" spans="1:4" x14ac:dyDescent="0.35">
      <c r="A130" t="s">
        <v>139</v>
      </c>
      <c r="B130" t="str" cm="1">
        <f t="array" aca="1" ref="B130" ca="1">INDEX($F$2:$F$16,RANDBETWEEN(1,15)) &amp; " " &amp; INDEX($G$2:$G$16,RANDBETWEEN(1,15))</f>
        <v>Ava Johnson</v>
      </c>
      <c r="C130" t="s">
        <v>214</v>
      </c>
      <c r="D130" t="s">
        <v>216</v>
      </c>
    </row>
    <row r="131" spans="1:4" x14ac:dyDescent="0.35">
      <c r="A131" t="s">
        <v>140</v>
      </c>
      <c r="B131" t="str" cm="1">
        <f t="array" aca="1" ref="B131" ca="1">INDEX($F$2:$F$16,RANDBETWEEN(1,15)) &amp; " " &amp; INDEX($G$2:$G$16,RANDBETWEEN(1,15))</f>
        <v>Olivia Smith</v>
      </c>
      <c r="C131" t="s">
        <v>214</v>
      </c>
      <c r="D131" t="s">
        <v>216</v>
      </c>
    </row>
    <row r="132" spans="1:4" x14ac:dyDescent="0.35">
      <c r="A132" t="s">
        <v>141</v>
      </c>
      <c r="B132" t="str" cm="1">
        <f t="array" aca="1" ref="B132" ca="1">INDEX($F$2:$F$16,RANDBETWEEN(1,15)) &amp; " " &amp; INDEX($G$2:$G$16,RANDBETWEEN(1,15))</f>
        <v>Chris Martin</v>
      </c>
      <c r="C132" t="s">
        <v>214</v>
      </c>
      <c r="D132" t="s">
        <v>216</v>
      </c>
    </row>
    <row r="133" spans="1:4" x14ac:dyDescent="0.35">
      <c r="A133" t="s">
        <v>142</v>
      </c>
      <c r="B133" t="str" cm="1">
        <f t="array" aca="1" ref="B133" ca="1">INDEX($F$2:$F$16,RANDBETWEEN(1,15)) &amp; " " &amp; INDEX($G$2:$G$16,RANDBETWEEN(1,15))</f>
        <v>Daniel Moore</v>
      </c>
      <c r="C133" t="s">
        <v>214</v>
      </c>
      <c r="D133" t="s">
        <v>216</v>
      </c>
    </row>
    <row r="134" spans="1:4" x14ac:dyDescent="0.35">
      <c r="A134" t="s">
        <v>143</v>
      </c>
      <c r="B134" t="str" cm="1">
        <f t="array" aca="1" ref="B134" ca="1">INDEX($F$2:$F$16,RANDBETWEEN(1,15)) &amp; " " &amp; INDEX($G$2:$G$16,RANDBETWEEN(1,15))</f>
        <v>Emma Anderson</v>
      </c>
      <c r="C134" t="s">
        <v>214</v>
      </c>
      <c r="D134" t="s">
        <v>217</v>
      </c>
    </row>
    <row r="135" spans="1:4" x14ac:dyDescent="0.35">
      <c r="A135" t="s">
        <v>144</v>
      </c>
      <c r="B135" t="str" cm="1">
        <f t="array" aca="1" ref="B135" ca="1">INDEX($F$2:$F$16,RANDBETWEEN(1,15)) &amp; " " &amp; INDEX($G$2:$G$16,RANDBETWEEN(1,15))</f>
        <v>Isabella Smith</v>
      </c>
      <c r="C135" t="s">
        <v>212</v>
      </c>
      <c r="D135" t="s">
        <v>217</v>
      </c>
    </row>
    <row r="136" spans="1:4" x14ac:dyDescent="0.35">
      <c r="A136" t="s">
        <v>145</v>
      </c>
      <c r="B136" t="str" cm="1">
        <f t="array" aca="1" ref="B136" ca="1">INDEX($F$2:$F$16,RANDBETWEEN(1,15)) &amp; " " &amp; INDEX($G$2:$G$16,RANDBETWEEN(1,15))</f>
        <v>Andrew Miller</v>
      </c>
      <c r="C136" t="s">
        <v>212</v>
      </c>
      <c r="D136" t="s">
        <v>217</v>
      </c>
    </row>
    <row r="137" spans="1:4" x14ac:dyDescent="0.35">
      <c r="A137" t="s">
        <v>146</v>
      </c>
      <c r="B137" t="str" cm="1">
        <f t="array" aca="1" ref="B137" ca="1">INDEX($F$2:$F$16,RANDBETWEEN(1,15)) &amp; " " &amp; INDEX($G$2:$G$16,RANDBETWEEN(1,15))</f>
        <v>David Miller</v>
      </c>
      <c r="C137" t="s">
        <v>211</v>
      </c>
      <c r="D137" t="s">
        <v>217</v>
      </c>
    </row>
    <row r="138" spans="1:4" x14ac:dyDescent="0.35">
      <c r="A138" t="s">
        <v>147</v>
      </c>
      <c r="B138" t="str" cm="1">
        <f t="array" aca="1" ref="B138" ca="1">INDEX($F$2:$F$16,RANDBETWEEN(1,15)) &amp; " " &amp; INDEX($G$2:$G$16,RANDBETWEEN(1,15))</f>
        <v>John Williams</v>
      </c>
      <c r="C138" t="s">
        <v>211</v>
      </c>
      <c r="D138" t="s">
        <v>217</v>
      </c>
    </row>
    <row r="139" spans="1:4" x14ac:dyDescent="0.35">
      <c r="A139" t="s">
        <v>148</v>
      </c>
      <c r="B139" t="str" cm="1">
        <f t="array" aca="1" ref="B139" ca="1">INDEX($F$2:$F$16,RANDBETWEEN(1,15)) &amp; " " &amp; INDEX($G$2:$G$16,RANDBETWEEN(1,15))</f>
        <v>Daniel Jones</v>
      </c>
      <c r="C139" t="s">
        <v>211</v>
      </c>
      <c r="D139" t="s">
        <v>218</v>
      </c>
    </row>
    <row r="140" spans="1:4" x14ac:dyDescent="0.35">
      <c r="A140" t="s">
        <v>149</v>
      </c>
      <c r="B140" t="str" cm="1">
        <f t="array" aca="1" ref="B140" ca="1">INDEX($F$2:$F$16,RANDBETWEEN(1,15)) &amp; " " &amp; INDEX($G$2:$G$16,RANDBETWEEN(1,15))</f>
        <v>Ava Garcia</v>
      </c>
      <c r="C140" t="s">
        <v>211</v>
      </c>
      <c r="D140" t="s">
        <v>218</v>
      </c>
    </row>
    <row r="141" spans="1:4" x14ac:dyDescent="0.35">
      <c r="A141" t="s">
        <v>150</v>
      </c>
      <c r="B141" t="str" cm="1">
        <f t="array" aca="1" ref="B141" ca="1">INDEX($F$2:$F$16,RANDBETWEEN(1,15)) &amp; " " &amp; INDEX($G$2:$G$16,RANDBETWEEN(1,15))</f>
        <v>Chris Jackson</v>
      </c>
      <c r="C141" t="s">
        <v>211</v>
      </c>
      <c r="D141" t="s">
        <v>218</v>
      </c>
    </row>
    <row r="142" spans="1:4" x14ac:dyDescent="0.35">
      <c r="A142" t="s">
        <v>151</v>
      </c>
      <c r="B142" t="str" cm="1">
        <f t="array" aca="1" ref="B142" ca="1">INDEX($F$2:$F$16,RANDBETWEEN(1,15)) &amp; " " &amp; INDEX($G$2:$G$16,RANDBETWEEN(1,15))</f>
        <v>Isabella Brown</v>
      </c>
      <c r="C142" t="s">
        <v>211</v>
      </c>
      <c r="D142" t="s">
        <v>216</v>
      </c>
    </row>
    <row r="143" spans="1:4" x14ac:dyDescent="0.35">
      <c r="A143" t="s">
        <v>152</v>
      </c>
      <c r="B143" t="str" cm="1">
        <f t="array" aca="1" ref="B143" ca="1">INDEX($F$2:$F$16,RANDBETWEEN(1,15)) &amp; " " &amp; INDEX($G$2:$G$16,RANDBETWEEN(1,15))</f>
        <v>David Wilson</v>
      </c>
      <c r="C143" t="s">
        <v>211</v>
      </c>
      <c r="D143" t="s">
        <v>216</v>
      </c>
    </row>
    <row r="144" spans="1:4" x14ac:dyDescent="0.35">
      <c r="A144" t="s">
        <v>153</v>
      </c>
      <c r="B144" t="str" cm="1">
        <f t="array" aca="1" ref="B144" ca="1">INDEX($F$2:$F$16,RANDBETWEEN(1,15)) &amp; " " &amp; INDEX($G$2:$G$16,RANDBETWEEN(1,15))</f>
        <v>Sophia Davis</v>
      </c>
      <c r="C144" t="s">
        <v>211</v>
      </c>
      <c r="D144" t="s">
        <v>216</v>
      </c>
    </row>
    <row r="145" spans="1:4" x14ac:dyDescent="0.35">
      <c r="A145" t="s">
        <v>154</v>
      </c>
      <c r="B145" t="str" cm="1">
        <f t="array" aca="1" ref="B145" ca="1">INDEX($F$2:$F$16,RANDBETWEEN(1,15)) &amp; " " &amp; INDEX($G$2:$G$16,RANDBETWEEN(1,15))</f>
        <v>Daniel Smith</v>
      </c>
      <c r="C145" t="s">
        <v>211</v>
      </c>
      <c r="D145" t="s">
        <v>216</v>
      </c>
    </row>
    <row r="146" spans="1:4" x14ac:dyDescent="0.35">
      <c r="A146" t="s">
        <v>155</v>
      </c>
      <c r="B146" t="str" cm="1">
        <f t="array" aca="1" ref="B146" ca="1">INDEX($F$2:$F$16,RANDBETWEEN(1,15)) &amp; " " &amp; INDEX($G$2:$G$16,RANDBETWEEN(1,15))</f>
        <v>Isabella Davis</v>
      </c>
      <c r="C146" t="s">
        <v>211</v>
      </c>
      <c r="D146" t="s">
        <v>216</v>
      </c>
    </row>
    <row r="147" spans="1:4" x14ac:dyDescent="0.35">
      <c r="A147" t="s">
        <v>156</v>
      </c>
      <c r="B147" t="str" cm="1">
        <f t="array" aca="1" ref="B147" ca="1">INDEX($F$2:$F$16,RANDBETWEEN(1,15)) &amp; " " &amp; INDEX($G$2:$G$16,RANDBETWEEN(1,15))</f>
        <v>John Jones</v>
      </c>
      <c r="C147" t="s">
        <v>211</v>
      </c>
      <c r="D147" t="s">
        <v>216</v>
      </c>
    </row>
    <row r="148" spans="1:4" x14ac:dyDescent="0.35">
      <c r="A148" t="s">
        <v>157</v>
      </c>
      <c r="B148" t="str" cm="1">
        <f t="array" aca="1" ref="B148" ca="1">INDEX($F$2:$F$16,RANDBETWEEN(1,15)) &amp; " " &amp; INDEX($G$2:$G$16,RANDBETWEEN(1,15))</f>
        <v>Ava Johnson</v>
      </c>
      <c r="C148" t="s">
        <v>211</v>
      </c>
      <c r="D148" t="s">
        <v>216</v>
      </c>
    </row>
    <row r="149" spans="1:4" x14ac:dyDescent="0.35">
      <c r="A149" t="s">
        <v>158</v>
      </c>
      <c r="B149" t="str" cm="1">
        <f t="array" aca="1" ref="B149" ca="1">INDEX($F$2:$F$16,RANDBETWEEN(1,15)) &amp; " " &amp; INDEX($G$2:$G$16,RANDBETWEEN(1,15))</f>
        <v>Noah Thomas</v>
      </c>
      <c r="C149" t="s">
        <v>211</v>
      </c>
      <c r="D149" t="s">
        <v>216</v>
      </c>
    </row>
    <row r="150" spans="1:4" x14ac:dyDescent="0.35">
      <c r="A150" t="s">
        <v>159</v>
      </c>
      <c r="B150" t="str" cm="1">
        <f t="array" aca="1" ref="B150" ca="1">INDEX($F$2:$F$16,RANDBETWEEN(1,15)) &amp; " " &amp; INDEX($G$2:$G$16,RANDBETWEEN(1,15))</f>
        <v>Daniel Jones</v>
      </c>
      <c r="C150" t="s">
        <v>211</v>
      </c>
      <c r="D150" t="s">
        <v>216</v>
      </c>
    </row>
    <row r="151" spans="1:4" x14ac:dyDescent="0.35">
      <c r="A151" t="s">
        <v>160</v>
      </c>
      <c r="B151" t="str" cm="1">
        <f t="array" aca="1" ref="B151" ca="1">INDEX($F$2:$F$16,RANDBETWEEN(1,15)) &amp; " " &amp; INDEX($G$2:$G$16,RANDBETWEEN(1,15))</f>
        <v>Sophia Garcia</v>
      </c>
      <c r="C151" t="s">
        <v>211</v>
      </c>
      <c r="D151" t="s">
        <v>216</v>
      </c>
    </row>
    <row r="152" spans="1:4" x14ac:dyDescent="0.35">
      <c r="A152" t="s">
        <v>161</v>
      </c>
      <c r="B152" t="str" cm="1">
        <f t="array" aca="1" ref="B152" ca="1">INDEX($F$2:$F$16,RANDBETWEEN(1,15)) &amp; " " &amp; INDEX($G$2:$G$16,RANDBETWEEN(1,15))</f>
        <v>Olivia Davis</v>
      </c>
      <c r="C152" t="s">
        <v>212</v>
      </c>
      <c r="D152" t="s">
        <v>216</v>
      </c>
    </row>
    <row r="153" spans="1:4" x14ac:dyDescent="0.35">
      <c r="A153" t="s">
        <v>162</v>
      </c>
      <c r="B153" t="str" cm="1">
        <f t="array" aca="1" ref="B153" ca="1">INDEX($F$2:$F$16,RANDBETWEEN(1,15)) &amp; " " &amp; INDEX($G$2:$G$16,RANDBETWEEN(1,15))</f>
        <v>Chris Smith</v>
      </c>
      <c r="C153" t="s">
        <v>212</v>
      </c>
      <c r="D153" t="s">
        <v>216</v>
      </c>
    </row>
    <row r="154" spans="1:4" x14ac:dyDescent="0.35">
      <c r="A154" t="s">
        <v>163</v>
      </c>
      <c r="B154" t="str" cm="1">
        <f t="array" aca="1" ref="B154" ca="1">INDEX($F$2:$F$16,RANDBETWEEN(1,15)) &amp; " " &amp; INDEX($G$2:$G$16,RANDBETWEEN(1,15))</f>
        <v>David Smith</v>
      </c>
      <c r="C154" t="s">
        <v>212</v>
      </c>
      <c r="D154" t="s">
        <v>217</v>
      </c>
    </row>
    <row r="155" spans="1:4" x14ac:dyDescent="0.35">
      <c r="A155" t="s">
        <v>164</v>
      </c>
      <c r="B155" t="str" cm="1">
        <f t="array" aca="1" ref="B155" ca="1">INDEX($F$2:$F$16,RANDBETWEEN(1,15)) &amp; " " &amp; INDEX($G$2:$G$16,RANDBETWEEN(1,15))</f>
        <v>Sophia Martin</v>
      </c>
      <c r="C155" t="s">
        <v>212</v>
      </c>
      <c r="D155" t="s">
        <v>217</v>
      </c>
    </row>
    <row r="156" spans="1:4" x14ac:dyDescent="0.35">
      <c r="A156" t="s">
        <v>165</v>
      </c>
      <c r="B156" t="str" cm="1">
        <f t="array" aca="1" ref="B156" ca="1">INDEX($F$2:$F$16,RANDBETWEEN(1,15)) &amp; " " &amp; INDEX($G$2:$G$16,RANDBETWEEN(1,15))</f>
        <v>John Jackson</v>
      </c>
      <c r="C156" t="s">
        <v>212</v>
      </c>
      <c r="D156" t="s">
        <v>217</v>
      </c>
    </row>
    <row r="157" spans="1:4" x14ac:dyDescent="0.35">
      <c r="A157" t="s">
        <v>166</v>
      </c>
      <c r="B157" t="str" cm="1">
        <f t="array" aca="1" ref="B157" ca="1">INDEX($F$2:$F$16,RANDBETWEEN(1,15)) &amp; " " &amp; INDEX($G$2:$G$16,RANDBETWEEN(1,15))</f>
        <v>Chris Thomas</v>
      </c>
      <c r="C157" t="s">
        <v>212</v>
      </c>
      <c r="D157" t="s">
        <v>217</v>
      </c>
    </row>
    <row r="158" spans="1:4" x14ac:dyDescent="0.35">
      <c r="A158" t="s">
        <v>167</v>
      </c>
      <c r="B158" t="str" cm="1">
        <f t="array" aca="1" ref="B158" ca="1">INDEX($F$2:$F$16,RANDBETWEEN(1,15)) &amp; " " &amp; INDEX($G$2:$G$16,RANDBETWEEN(1,15))</f>
        <v>Daniel Jackson</v>
      </c>
      <c r="C158" t="s">
        <v>212</v>
      </c>
      <c r="D158" t="s">
        <v>217</v>
      </c>
    </row>
    <row r="159" spans="1:4" x14ac:dyDescent="0.35">
      <c r="A159" t="s">
        <v>168</v>
      </c>
      <c r="B159" t="str" cm="1">
        <f t="array" aca="1" ref="B159" ca="1">INDEX($F$2:$F$16,RANDBETWEEN(1,15)) &amp; " " &amp; INDEX($G$2:$G$16,RANDBETWEEN(1,15))</f>
        <v>Daniel Smith</v>
      </c>
      <c r="C159" t="s">
        <v>212</v>
      </c>
      <c r="D159" t="s">
        <v>218</v>
      </c>
    </row>
    <row r="160" spans="1:4" x14ac:dyDescent="0.35">
      <c r="A160" t="s">
        <v>169</v>
      </c>
      <c r="B160" t="str" cm="1">
        <f t="array" aca="1" ref="B160" ca="1">INDEX($F$2:$F$16,RANDBETWEEN(1,15)) &amp; " " &amp; INDEX($G$2:$G$16,RANDBETWEEN(1,15))</f>
        <v>Andrew Thomas</v>
      </c>
      <c r="C160" t="s">
        <v>212</v>
      </c>
      <c r="D160" t="s">
        <v>218</v>
      </c>
    </row>
    <row r="161" spans="1:4" x14ac:dyDescent="0.35">
      <c r="A161" t="s">
        <v>170</v>
      </c>
      <c r="B161" t="str" cm="1">
        <f t="array" aca="1" ref="B161" ca="1">INDEX($F$2:$F$16,RANDBETWEEN(1,15)) &amp; " " &amp; INDEX($G$2:$G$16,RANDBETWEEN(1,15))</f>
        <v>Ava Jackson</v>
      </c>
      <c r="C161" t="s">
        <v>212</v>
      </c>
      <c r="D161" t="s">
        <v>218</v>
      </c>
    </row>
    <row r="162" spans="1:4" x14ac:dyDescent="0.35">
      <c r="A162" t="s">
        <v>171</v>
      </c>
      <c r="B162" t="str" cm="1">
        <f t="array" aca="1" ref="B162" ca="1">INDEX($F$2:$F$16,RANDBETWEEN(1,15)) &amp; " " &amp; INDEX($G$2:$G$16,RANDBETWEEN(1,15))</f>
        <v>Andrew Wilson</v>
      </c>
      <c r="C162" t="s">
        <v>212</v>
      </c>
      <c r="D162" t="s">
        <v>216</v>
      </c>
    </row>
    <row r="163" spans="1:4" x14ac:dyDescent="0.35">
      <c r="A163" t="s">
        <v>172</v>
      </c>
      <c r="B163" t="str" cm="1">
        <f t="array" aca="1" ref="B163" ca="1">INDEX($F$2:$F$16,RANDBETWEEN(1,15)) &amp; " " &amp; INDEX($G$2:$G$16,RANDBETWEEN(1,15))</f>
        <v>Sophia Smith</v>
      </c>
      <c r="C163" t="s">
        <v>212</v>
      </c>
      <c r="D163" t="s">
        <v>216</v>
      </c>
    </row>
    <row r="164" spans="1:4" x14ac:dyDescent="0.35">
      <c r="A164" t="s">
        <v>173</v>
      </c>
      <c r="B164" t="str" cm="1">
        <f t="array" aca="1" ref="B164" ca="1">INDEX($F$2:$F$16,RANDBETWEEN(1,15)) &amp; " " &amp; INDEX($G$2:$G$16,RANDBETWEEN(1,15))</f>
        <v>Olivia Smith</v>
      </c>
      <c r="C164" t="s">
        <v>212</v>
      </c>
      <c r="D164" t="s">
        <v>216</v>
      </c>
    </row>
    <row r="165" spans="1:4" x14ac:dyDescent="0.35">
      <c r="A165" t="s">
        <v>174</v>
      </c>
      <c r="B165" t="str" cm="1">
        <f t="array" aca="1" ref="B165" ca="1">INDEX($F$2:$F$16,RANDBETWEEN(1,15)) &amp; " " &amp; INDEX($G$2:$G$16,RANDBETWEEN(1,15))</f>
        <v>Michael Williams</v>
      </c>
      <c r="C165" t="s">
        <v>212</v>
      </c>
      <c r="D165" t="s">
        <v>216</v>
      </c>
    </row>
    <row r="166" spans="1:4" x14ac:dyDescent="0.35">
      <c r="A166" t="s">
        <v>175</v>
      </c>
      <c r="B166" t="str" cm="1">
        <f t="array" aca="1" ref="B166" ca="1">INDEX($F$2:$F$16,RANDBETWEEN(1,15)) &amp; " " &amp; INDEX($G$2:$G$16,RANDBETWEEN(1,15))</f>
        <v>Michael Taylor</v>
      </c>
      <c r="C166" t="s">
        <v>212</v>
      </c>
      <c r="D166" t="s">
        <v>216</v>
      </c>
    </row>
    <row r="167" spans="1:4" x14ac:dyDescent="0.35">
      <c r="A167" t="s">
        <v>176</v>
      </c>
      <c r="B167" t="str" cm="1">
        <f t="array" aca="1" ref="B167" ca="1">INDEX($F$2:$F$16,RANDBETWEEN(1,15)) &amp; " " &amp; INDEX($G$2:$G$16,RANDBETWEEN(1,15))</f>
        <v>Chris Wilson</v>
      </c>
      <c r="C167" t="s">
        <v>212</v>
      </c>
      <c r="D167" t="s">
        <v>216</v>
      </c>
    </row>
    <row r="168" spans="1:4" x14ac:dyDescent="0.35">
      <c r="A168" t="s">
        <v>177</v>
      </c>
      <c r="B168" t="str" cm="1">
        <f t="array" aca="1" ref="B168" ca="1">INDEX($F$2:$F$16,RANDBETWEEN(1,15)) &amp; " " &amp; INDEX($G$2:$G$16,RANDBETWEEN(1,15))</f>
        <v>Chris Anderson</v>
      </c>
      <c r="C168" t="s">
        <v>212</v>
      </c>
      <c r="D168" t="s">
        <v>216</v>
      </c>
    </row>
    <row r="169" spans="1:4" x14ac:dyDescent="0.35">
      <c r="A169" t="s">
        <v>178</v>
      </c>
      <c r="B169" t="str" cm="1">
        <f t="array" aca="1" ref="B169" ca="1">INDEX($F$2:$F$16,RANDBETWEEN(1,15)) &amp; " " &amp; INDEX($G$2:$G$16,RANDBETWEEN(1,15))</f>
        <v>Isabella Brown</v>
      </c>
      <c r="C169" t="s">
        <v>212</v>
      </c>
      <c r="D169" t="s">
        <v>216</v>
      </c>
    </row>
    <row r="170" spans="1:4" x14ac:dyDescent="0.35">
      <c r="A170" t="s">
        <v>179</v>
      </c>
      <c r="B170" t="str" cm="1">
        <f t="array" aca="1" ref="B170" ca="1">INDEX($F$2:$F$16,RANDBETWEEN(1,15)) &amp; " " &amp; INDEX($G$2:$G$16,RANDBETWEEN(1,15))</f>
        <v>Ava Anderson</v>
      </c>
      <c r="C170" t="s">
        <v>213</v>
      </c>
      <c r="D170" t="s">
        <v>216</v>
      </c>
    </row>
    <row r="171" spans="1:4" x14ac:dyDescent="0.35">
      <c r="A171" t="s">
        <v>180</v>
      </c>
      <c r="B171" t="str" cm="1">
        <f t="array" aca="1" ref="B171" ca="1">INDEX($F$2:$F$16,RANDBETWEEN(1,15)) &amp; " " &amp; INDEX($G$2:$G$16,RANDBETWEEN(1,15))</f>
        <v>Ava Thomas</v>
      </c>
      <c r="C171" t="s">
        <v>213</v>
      </c>
      <c r="D171" t="s">
        <v>216</v>
      </c>
    </row>
    <row r="172" spans="1:4" x14ac:dyDescent="0.35">
      <c r="A172" t="s">
        <v>181</v>
      </c>
      <c r="B172" t="str" cm="1">
        <f t="array" aca="1" ref="B172" ca="1">INDEX($F$2:$F$16,RANDBETWEEN(1,15)) &amp; " " &amp; INDEX($G$2:$G$16,RANDBETWEEN(1,15))</f>
        <v>Emma Williams</v>
      </c>
      <c r="C172" t="s">
        <v>213</v>
      </c>
      <c r="D172" t="s">
        <v>216</v>
      </c>
    </row>
    <row r="173" spans="1:4" x14ac:dyDescent="0.35">
      <c r="A173" t="s">
        <v>182</v>
      </c>
      <c r="B173" t="str" cm="1">
        <f t="array" aca="1" ref="B173" ca="1">INDEX($F$2:$F$16,RANDBETWEEN(1,15)) &amp; " " &amp; INDEX($G$2:$G$16,RANDBETWEEN(1,15))</f>
        <v>Michael Davis</v>
      </c>
      <c r="C173" t="s">
        <v>213</v>
      </c>
      <c r="D173" t="s">
        <v>216</v>
      </c>
    </row>
    <row r="174" spans="1:4" x14ac:dyDescent="0.35">
      <c r="A174" t="s">
        <v>183</v>
      </c>
      <c r="B174" t="str" cm="1">
        <f t="array" aca="1" ref="B174" ca="1">INDEX($F$2:$F$16,RANDBETWEEN(1,15)) &amp; " " &amp; INDEX($G$2:$G$16,RANDBETWEEN(1,15))</f>
        <v>Emma Brown</v>
      </c>
      <c r="C174" t="s">
        <v>213</v>
      </c>
      <c r="D174" t="s">
        <v>217</v>
      </c>
    </row>
    <row r="175" spans="1:4" x14ac:dyDescent="0.35">
      <c r="A175" t="s">
        <v>184</v>
      </c>
      <c r="B175" t="str" cm="1">
        <f t="array" aca="1" ref="B175" ca="1">INDEX($F$2:$F$16,RANDBETWEEN(1,15)) &amp; " " &amp; INDEX($G$2:$G$16,RANDBETWEEN(1,15))</f>
        <v>David Brown</v>
      </c>
      <c r="C175" t="s">
        <v>213</v>
      </c>
      <c r="D175" t="s">
        <v>217</v>
      </c>
    </row>
    <row r="176" spans="1:4" x14ac:dyDescent="0.35">
      <c r="A176" t="s">
        <v>185</v>
      </c>
      <c r="B176" t="str" cm="1">
        <f t="array" aca="1" ref="B176" ca="1">INDEX($F$2:$F$16,RANDBETWEEN(1,15)) &amp; " " &amp; INDEX($G$2:$G$16,RANDBETWEEN(1,15))</f>
        <v>Isabella Smith</v>
      </c>
      <c r="C176" t="s">
        <v>213</v>
      </c>
      <c r="D176" t="s">
        <v>217</v>
      </c>
    </row>
    <row r="177" spans="1:4" x14ac:dyDescent="0.35">
      <c r="A177" t="s">
        <v>186</v>
      </c>
      <c r="B177" t="str" cm="1">
        <f t="array" aca="1" ref="B177" ca="1">INDEX($F$2:$F$16,RANDBETWEEN(1,15)) &amp; " " &amp; INDEX($G$2:$G$16,RANDBETWEEN(1,15))</f>
        <v>Olivia Taylor</v>
      </c>
      <c r="C177" t="s">
        <v>213</v>
      </c>
      <c r="D177" t="s">
        <v>217</v>
      </c>
    </row>
    <row r="178" spans="1:4" x14ac:dyDescent="0.35">
      <c r="A178" t="s">
        <v>187</v>
      </c>
      <c r="B178" t="str" cm="1">
        <f t="array" aca="1" ref="B178" ca="1">INDEX($F$2:$F$16,RANDBETWEEN(1,15)) &amp; " " &amp; INDEX($G$2:$G$16,RANDBETWEEN(1,15))</f>
        <v>Sophia Thomas</v>
      </c>
      <c r="C178" t="s">
        <v>213</v>
      </c>
      <c r="D178" t="s">
        <v>217</v>
      </c>
    </row>
    <row r="179" spans="1:4" x14ac:dyDescent="0.35">
      <c r="A179" t="s">
        <v>188</v>
      </c>
      <c r="B179" t="str" cm="1">
        <f t="array" aca="1" ref="B179" ca="1">INDEX($F$2:$F$16,RANDBETWEEN(1,15)) &amp; " " &amp; INDEX($G$2:$G$16,RANDBETWEEN(1,15))</f>
        <v>Olivia Smith</v>
      </c>
      <c r="C179" t="s">
        <v>213</v>
      </c>
      <c r="D179" t="s">
        <v>218</v>
      </c>
    </row>
    <row r="180" spans="1:4" x14ac:dyDescent="0.35">
      <c r="A180" t="s">
        <v>189</v>
      </c>
      <c r="B180" t="str" cm="1">
        <f t="array" aca="1" ref="B180" ca="1">INDEX($F$2:$F$16,RANDBETWEEN(1,15)) &amp; " " &amp; INDEX($G$2:$G$16,RANDBETWEEN(1,15))</f>
        <v>Olivia Moore</v>
      </c>
      <c r="C180" t="s">
        <v>211</v>
      </c>
      <c r="D180" t="s">
        <v>218</v>
      </c>
    </row>
    <row r="181" spans="1:4" x14ac:dyDescent="0.35">
      <c r="A181" t="s">
        <v>190</v>
      </c>
      <c r="B181" t="str" cm="1">
        <f t="array" aca="1" ref="B181" ca="1">INDEX($F$2:$F$16,RANDBETWEEN(1,15)) &amp; " " &amp; INDEX($G$2:$G$16,RANDBETWEEN(1,15))</f>
        <v>James Jackson</v>
      </c>
      <c r="C181" t="s">
        <v>211</v>
      </c>
      <c r="D181" t="s">
        <v>218</v>
      </c>
    </row>
    <row r="182" spans="1:4" x14ac:dyDescent="0.35">
      <c r="A182" t="s">
        <v>191</v>
      </c>
      <c r="B182" t="str" cm="1">
        <f t="array" aca="1" ref="B182" ca="1">INDEX($F$2:$F$16,RANDBETWEEN(1,15)) &amp; " " &amp; INDEX($G$2:$G$16,RANDBETWEEN(1,15))</f>
        <v>Olivia Garcia</v>
      </c>
      <c r="C182" t="s">
        <v>211</v>
      </c>
      <c r="D182" t="s">
        <v>216</v>
      </c>
    </row>
    <row r="183" spans="1:4" x14ac:dyDescent="0.35">
      <c r="A183" t="s">
        <v>192</v>
      </c>
      <c r="B183" t="str" cm="1">
        <f t="array" aca="1" ref="B183" ca="1">INDEX($F$2:$F$16,RANDBETWEEN(1,15)) &amp; " " &amp; INDEX($G$2:$G$16,RANDBETWEEN(1,15))</f>
        <v>Isabella Anderson</v>
      </c>
      <c r="C183" t="s">
        <v>211</v>
      </c>
      <c r="D183" t="s">
        <v>216</v>
      </c>
    </row>
    <row r="184" spans="1:4" x14ac:dyDescent="0.35">
      <c r="A184" t="s">
        <v>193</v>
      </c>
      <c r="B184" t="str" cm="1">
        <f t="array" aca="1" ref="B184" ca="1">INDEX($F$2:$F$16,RANDBETWEEN(1,15)) &amp; " " &amp; INDEX($G$2:$G$16,RANDBETWEEN(1,15))</f>
        <v>Michael Taylor</v>
      </c>
      <c r="C184" t="s">
        <v>211</v>
      </c>
      <c r="D184" t="s">
        <v>216</v>
      </c>
    </row>
    <row r="185" spans="1:4" x14ac:dyDescent="0.35">
      <c r="A185" t="s">
        <v>194</v>
      </c>
      <c r="B185" t="str" cm="1">
        <f t="array" aca="1" ref="B185" ca="1">INDEX($F$2:$F$16,RANDBETWEEN(1,15)) &amp; " " &amp; INDEX($G$2:$G$16,RANDBETWEEN(1,15))</f>
        <v>Chris Wilson</v>
      </c>
      <c r="C185" t="s">
        <v>214</v>
      </c>
      <c r="D185" t="s">
        <v>216</v>
      </c>
    </row>
    <row r="186" spans="1:4" x14ac:dyDescent="0.35">
      <c r="A186" t="s">
        <v>195</v>
      </c>
      <c r="B186" t="str" cm="1">
        <f t="array" aca="1" ref="B186" ca="1">INDEX($F$2:$F$16,RANDBETWEEN(1,15)) &amp; " " &amp; INDEX($G$2:$G$16,RANDBETWEEN(1,15))</f>
        <v>Sophia Miller</v>
      </c>
      <c r="C186" t="s">
        <v>214</v>
      </c>
      <c r="D186" t="s">
        <v>216</v>
      </c>
    </row>
    <row r="187" spans="1:4" x14ac:dyDescent="0.35">
      <c r="A187" t="s">
        <v>196</v>
      </c>
      <c r="B187" t="str" cm="1">
        <f t="array" aca="1" ref="B187" ca="1">INDEX($F$2:$F$16,RANDBETWEEN(1,15)) &amp; " " &amp; INDEX($G$2:$G$16,RANDBETWEEN(1,15))</f>
        <v>Sophia Jones</v>
      </c>
      <c r="C187" t="s">
        <v>214</v>
      </c>
      <c r="D187" t="s">
        <v>216</v>
      </c>
    </row>
    <row r="188" spans="1:4" x14ac:dyDescent="0.35">
      <c r="A188" t="s">
        <v>197</v>
      </c>
      <c r="B188" t="str" cm="1">
        <f t="array" aca="1" ref="B188" ca="1">INDEX($F$2:$F$16,RANDBETWEEN(1,15)) &amp; " " &amp; INDEX($G$2:$G$16,RANDBETWEEN(1,15))</f>
        <v>Andrew Anderson</v>
      </c>
      <c r="C188" t="s">
        <v>214</v>
      </c>
      <c r="D188" t="s">
        <v>216</v>
      </c>
    </row>
    <row r="189" spans="1:4" x14ac:dyDescent="0.35">
      <c r="A189" t="s">
        <v>198</v>
      </c>
      <c r="B189" t="str" cm="1">
        <f t="array" aca="1" ref="B189" ca="1">INDEX($F$2:$F$16,RANDBETWEEN(1,15)) &amp; " " &amp; INDEX($G$2:$G$16,RANDBETWEEN(1,15))</f>
        <v>Michael Anderson</v>
      </c>
      <c r="C189" t="s">
        <v>214</v>
      </c>
      <c r="D189" t="s">
        <v>216</v>
      </c>
    </row>
    <row r="190" spans="1:4" x14ac:dyDescent="0.35">
      <c r="A190" t="s">
        <v>199</v>
      </c>
      <c r="B190" t="str" cm="1">
        <f t="array" aca="1" ref="B190" ca="1">INDEX($F$2:$F$16,RANDBETWEEN(1,15)) &amp; " " &amp; INDEX($G$2:$G$16,RANDBETWEEN(1,15))</f>
        <v>Olivia Miller</v>
      </c>
      <c r="C190" t="s">
        <v>214</v>
      </c>
      <c r="D190" t="s">
        <v>216</v>
      </c>
    </row>
    <row r="191" spans="1:4" x14ac:dyDescent="0.35">
      <c r="A191" t="s">
        <v>200</v>
      </c>
      <c r="B191" t="str" cm="1">
        <f t="array" aca="1" ref="B191" ca="1">INDEX($F$2:$F$16,RANDBETWEEN(1,15)) &amp; " " &amp; INDEX($G$2:$G$16,RANDBETWEEN(1,15))</f>
        <v>Michael Thomas</v>
      </c>
      <c r="C191" t="s">
        <v>214</v>
      </c>
      <c r="D191" t="s">
        <v>216</v>
      </c>
    </row>
    <row r="192" spans="1:4" x14ac:dyDescent="0.35">
      <c r="A192" t="s">
        <v>201</v>
      </c>
      <c r="B192" t="str" cm="1">
        <f t="array" aca="1" ref="B192" ca="1">INDEX($F$2:$F$16,RANDBETWEEN(1,15)) &amp; " " &amp; INDEX($G$2:$G$16,RANDBETWEEN(1,15))</f>
        <v>Isabella Miller</v>
      </c>
      <c r="C192" t="s">
        <v>213</v>
      </c>
      <c r="D192" t="s">
        <v>216</v>
      </c>
    </row>
    <row r="193" spans="1:4" x14ac:dyDescent="0.35">
      <c r="A193" t="s">
        <v>202</v>
      </c>
      <c r="B193" t="str" cm="1">
        <f t="array" aca="1" ref="B193" ca="1">INDEX($F$2:$F$16,RANDBETWEEN(1,15)) &amp; " " &amp; INDEX($G$2:$G$16,RANDBETWEEN(1,15))</f>
        <v>John Martin</v>
      </c>
      <c r="C193" t="s">
        <v>213</v>
      </c>
      <c r="D193" t="s">
        <v>216</v>
      </c>
    </row>
    <row r="194" spans="1:4" x14ac:dyDescent="0.35">
      <c r="A194" t="s">
        <v>203</v>
      </c>
      <c r="B194" t="str" cm="1">
        <f t="array" aca="1" ref="B194" ca="1">INDEX($F$2:$F$16,RANDBETWEEN(1,15)) &amp; " " &amp; INDEX($G$2:$G$16,RANDBETWEEN(1,15))</f>
        <v>Chris Jackson</v>
      </c>
      <c r="C194" t="s">
        <v>213</v>
      </c>
      <c r="D194" t="s">
        <v>217</v>
      </c>
    </row>
    <row r="195" spans="1:4" x14ac:dyDescent="0.35">
      <c r="A195" t="s">
        <v>204</v>
      </c>
      <c r="B195" t="str" cm="1">
        <f t="array" aca="1" ref="B195" ca="1">INDEX($F$2:$F$16,RANDBETWEEN(1,15)) &amp; " " &amp; INDEX($G$2:$G$16,RANDBETWEEN(1,15))</f>
        <v>John Williams</v>
      </c>
      <c r="C195" t="s">
        <v>213</v>
      </c>
      <c r="D195" t="s">
        <v>217</v>
      </c>
    </row>
    <row r="196" spans="1:4" x14ac:dyDescent="0.35">
      <c r="A196" t="s">
        <v>205</v>
      </c>
      <c r="B196" t="str" cm="1">
        <f t="array" aca="1" ref="B196" ca="1">INDEX($F$2:$F$16,RANDBETWEEN(1,15)) &amp; " " &amp; INDEX($G$2:$G$16,RANDBETWEEN(1,15))</f>
        <v>Isabella Smith</v>
      </c>
      <c r="C196" t="s">
        <v>213</v>
      </c>
      <c r="D196" t="s">
        <v>217</v>
      </c>
    </row>
    <row r="197" spans="1:4" x14ac:dyDescent="0.35">
      <c r="A197" t="s">
        <v>206</v>
      </c>
      <c r="B197" t="str" cm="1">
        <f t="array" aca="1" ref="B197" ca="1">INDEX($F$2:$F$16,RANDBETWEEN(1,15)) &amp; " " &amp; INDEX($G$2:$G$16,RANDBETWEEN(1,15))</f>
        <v>Noah Smith</v>
      </c>
      <c r="C197" t="s">
        <v>212</v>
      </c>
      <c r="D197" t="s">
        <v>217</v>
      </c>
    </row>
    <row r="198" spans="1:4" x14ac:dyDescent="0.35">
      <c r="A198" t="s">
        <v>207</v>
      </c>
      <c r="B198" t="str" cm="1">
        <f t="array" aca="1" ref="B198" ca="1">INDEX($F$2:$F$16,RANDBETWEEN(1,15)) &amp; " " &amp; INDEX($G$2:$G$16,RANDBETWEEN(1,15))</f>
        <v>Ava Davis</v>
      </c>
      <c r="C198" t="s">
        <v>212</v>
      </c>
      <c r="D198" t="s">
        <v>217</v>
      </c>
    </row>
    <row r="199" spans="1:4" x14ac:dyDescent="0.35">
      <c r="A199" t="s">
        <v>208</v>
      </c>
      <c r="B199" t="str" cm="1">
        <f t="array" aca="1" ref="B199" ca="1">INDEX($F$2:$F$16,RANDBETWEEN(1,15)) &amp; " " &amp; INDEX($G$2:$G$16,RANDBETWEEN(1,15))</f>
        <v>David Brown</v>
      </c>
      <c r="C199" t="s">
        <v>212</v>
      </c>
      <c r="D199" t="s">
        <v>218</v>
      </c>
    </row>
    <row r="200" spans="1:4" x14ac:dyDescent="0.35">
      <c r="A200" t="s">
        <v>209</v>
      </c>
      <c r="B200" t="str" cm="1">
        <f t="array" aca="1" ref="B200" ca="1">INDEX($F$2:$F$16,RANDBETWEEN(1,15)) &amp; " " &amp; INDEX($G$2:$G$16,RANDBETWEEN(1,15))</f>
        <v>John Brown</v>
      </c>
      <c r="C200" t="s">
        <v>211</v>
      </c>
      <c r="D200" t="s">
        <v>218</v>
      </c>
    </row>
    <row r="201" spans="1:4" x14ac:dyDescent="0.35">
      <c r="A201" t="s">
        <v>210</v>
      </c>
      <c r="B201" t="str" cm="1">
        <f t="array" aca="1" ref="B201" ca="1">INDEX($F$2:$F$16,RANDBETWEEN(1,15)) &amp; " " &amp; INDEX($G$2:$G$16,RANDBETWEEN(1,15))</f>
        <v>Mia Johnson</v>
      </c>
      <c r="C201" t="s">
        <v>214</v>
      </c>
      <c r="D201" t="s">
        <v>218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E5DA-7B95-460D-B5E9-9B60F738E0A5}">
  <dimension ref="A3:N10"/>
  <sheetViews>
    <sheetView tabSelected="1" workbookViewId="0">
      <selection activeCell="G3" sqref="G3"/>
    </sheetView>
  </sheetViews>
  <sheetFormatPr defaultRowHeight="14.5" x14ac:dyDescent="0.35"/>
  <cols>
    <col min="1" max="1" width="12.36328125" bestFit="1" customWidth="1"/>
    <col min="2" max="2" width="14.36328125" bestFit="1" customWidth="1"/>
    <col min="4" max="4" width="12.36328125" bestFit="1" customWidth="1"/>
    <col min="5" max="5" width="14.36328125" bestFit="1" customWidth="1"/>
    <col min="7" max="7" width="12.36328125" bestFit="1" customWidth="1"/>
    <col min="8" max="8" width="14.36328125" bestFit="1" customWidth="1"/>
    <col min="10" max="10" width="14.36328125" bestFit="1" customWidth="1"/>
    <col min="11" max="11" width="15.26953125" bestFit="1" customWidth="1"/>
    <col min="12" max="12" width="7.08984375" bestFit="1" customWidth="1"/>
    <col min="13" max="13" width="6.81640625" bestFit="1" customWidth="1"/>
    <col min="14" max="14" width="10.7265625" bestFit="1" customWidth="1"/>
  </cols>
  <sheetData>
    <row r="3" spans="1:14" x14ac:dyDescent="0.35">
      <c r="A3" s="2" t="s">
        <v>1259</v>
      </c>
      <c r="B3" t="s">
        <v>1261</v>
      </c>
      <c r="D3" s="2" t="s">
        <v>1259</v>
      </c>
      <c r="E3" t="s">
        <v>1261</v>
      </c>
      <c r="G3" s="2" t="s">
        <v>1259</v>
      </c>
      <c r="H3" t="s">
        <v>1261</v>
      </c>
      <c r="J3" s="2" t="s">
        <v>1261</v>
      </c>
      <c r="K3" s="2" t="s">
        <v>1262</v>
      </c>
    </row>
    <row r="4" spans="1:14" x14ac:dyDescent="0.35">
      <c r="A4" s="3" t="s">
        <v>1251</v>
      </c>
      <c r="B4" s="4">
        <v>93040</v>
      </c>
      <c r="D4" s="3" t="s">
        <v>218</v>
      </c>
      <c r="E4" s="4">
        <v>72305</v>
      </c>
      <c r="G4" s="3" t="s">
        <v>214</v>
      </c>
      <c r="H4" s="4">
        <v>134720</v>
      </c>
      <c r="J4" s="2" t="s">
        <v>1259</v>
      </c>
      <c r="K4" t="s">
        <v>218</v>
      </c>
      <c r="L4" t="s">
        <v>216</v>
      </c>
      <c r="M4" t="s">
        <v>217</v>
      </c>
      <c r="N4" t="s">
        <v>1260</v>
      </c>
    </row>
    <row r="5" spans="1:14" x14ac:dyDescent="0.35">
      <c r="A5" s="3" t="s">
        <v>1252</v>
      </c>
      <c r="B5" s="4">
        <v>139920</v>
      </c>
      <c r="D5" s="3" t="s">
        <v>216</v>
      </c>
      <c r="E5" s="4">
        <v>248295</v>
      </c>
      <c r="G5" s="3" t="s">
        <v>211</v>
      </c>
      <c r="H5" s="4">
        <v>91905</v>
      </c>
      <c r="J5" s="3" t="s">
        <v>1251</v>
      </c>
      <c r="K5" s="4">
        <v>17360</v>
      </c>
      <c r="L5" s="4">
        <v>51760</v>
      </c>
      <c r="M5" s="4">
        <v>23920</v>
      </c>
      <c r="N5" s="4">
        <v>93040</v>
      </c>
    </row>
    <row r="6" spans="1:14" x14ac:dyDescent="0.35">
      <c r="A6" s="3" t="s">
        <v>1250</v>
      </c>
      <c r="B6" s="4">
        <v>70440</v>
      </c>
      <c r="D6" s="3" t="s">
        <v>217</v>
      </c>
      <c r="E6" s="4">
        <v>115430</v>
      </c>
      <c r="G6" s="3" t="s">
        <v>212</v>
      </c>
      <c r="H6" s="4">
        <v>90390</v>
      </c>
      <c r="J6" s="3" t="s">
        <v>1252</v>
      </c>
      <c r="K6" s="4">
        <v>25200</v>
      </c>
      <c r="L6" s="4">
        <v>74880</v>
      </c>
      <c r="M6" s="4">
        <v>39840</v>
      </c>
      <c r="N6" s="4">
        <v>139920</v>
      </c>
    </row>
    <row r="7" spans="1:14" x14ac:dyDescent="0.35">
      <c r="A7" s="3" t="s">
        <v>1253</v>
      </c>
      <c r="B7" s="4">
        <v>105930</v>
      </c>
      <c r="D7" s="3" t="s">
        <v>1260</v>
      </c>
      <c r="E7" s="4">
        <v>436030</v>
      </c>
      <c r="G7" s="3" t="s">
        <v>213</v>
      </c>
      <c r="H7" s="4">
        <v>119015</v>
      </c>
      <c r="J7" s="3" t="s">
        <v>1250</v>
      </c>
      <c r="K7" s="4">
        <v>11040</v>
      </c>
      <c r="L7" s="4">
        <v>41820</v>
      </c>
      <c r="M7" s="4">
        <v>17580</v>
      </c>
      <c r="N7" s="4">
        <v>70440</v>
      </c>
    </row>
    <row r="8" spans="1:14" x14ac:dyDescent="0.35">
      <c r="A8" s="3" t="s">
        <v>1249</v>
      </c>
      <c r="B8" s="4">
        <v>26700</v>
      </c>
      <c r="G8" s="3" t="s">
        <v>1260</v>
      </c>
      <c r="H8" s="4">
        <v>436030</v>
      </c>
      <c r="J8" s="3" t="s">
        <v>1253</v>
      </c>
      <c r="K8" s="4">
        <v>15480</v>
      </c>
      <c r="L8" s="4">
        <v>62010</v>
      </c>
      <c r="M8" s="4">
        <v>28440</v>
      </c>
      <c r="N8" s="4">
        <v>105930</v>
      </c>
    </row>
    <row r="9" spans="1:14" x14ac:dyDescent="0.35">
      <c r="A9" s="3" t="s">
        <v>1260</v>
      </c>
      <c r="B9" s="4">
        <v>436030</v>
      </c>
      <c r="J9" s="3" t="s">
        <v>1249</v>
      </c>
      <c r="K9" s="4">
        <v>3225</v>
      </c>
      <c r="L9" s="4">
        <v>17825</v>
      </c>
      <c r="M9" s="4">
        <v>5650</v>
      </c>
      <c r="N9" s="4">
        <v>26700</v>
      </c>
    </row>
    <row r="10" spans="1:14" x14ac:dyDescent="0.35">
      <c r="J10" s="3" t="s">
        <v>1260</v>
      </c>
      <c r="K10" s="4">
        <v>72305</v>
      </c>
      <c r="L10" s="4">
        <v>248295</v>
      </c>
      <c r="M10" s="4">
        <v>115430</v>
      </c>
      <c r="N10" s="4">
        <v>436030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15D0-975F-483E-9F6D-C2D0E4AB0E19}">
  <dimension ref="A1"/>
  <sheetViews>
    <sheetView showGridLines="0" zoomScale="70" workbookViewId="0">
      <selection activeCell="G23" sqref="G2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5CE8-3E61-4BDE-BB29-35A3ADCA6231}">
  <dimension ref="A1:A20"/>
  <sheetViews>
    <sheetView showGridLines="0" topLeftCell="A2" workbookViewId="0">
      <selection activeCell="A2" sqref="A2"/>
    </sheetView>
  </sheetViews>
  <sheetFormatPr defaultRowHeight="14.5" x14ac:dyDescent="0.35"/>
  <cols>
    <col min="1" max="1" width="203.453125" bestFit="1" customWidth="1"/>
  </cols>
  <sheetData>
    <row r="1" spans="1:1" ht="21" x14ac:dyDescent="0.5">
      <c r="A1" s="5" t="s">
        <v>1263</v>
      </c>
    </row>
    <row r="2" spans="1:1" x14ac:dyDescent="0.35">
      <c r="A2" s="6" t="s">
        <v>1278</v>
      </c>
    </row>
    <row r="3" spans="1:1" x14ac:dyDescent="0.35">
      <c r="A3" s="6" t="s">
        <v>1264</v>
      </c>
    </row>
    <row r="4" spans="1:1" x14ac:dyDescent="0.35">
      <c r="A4" t="s">
        <v>1274</v>
      </c>
    </row>
    <row r="5" spans="1:1" x14ac:dyDescent="0.35">
      <c r="A5" t="s">
        <v>1265</v>
      </c>
    </row>
    <row r="7" spans="1:1" x14ac:dyDescent="0.35">
      <c r="A7" s="6" t="s">
        <v>1266</v>
      </c>
    </row>
    <row r="8" spans="1:1" x14ac:dyDescent="0.35">
      <c r="A8" t="s">
        <v>1275</v>
      </c>
    </row>
    <row r="9" spans="1:1" x14ac:dyDescent="0.35">
      <c r="A9" t="s">
        <v>1267</v>
      </c>
    </row>
    <row r="11" spans="1:1" x14ac:dyDescent="0.35">
      <c r="A11" s="6" t="s">
        <v>1268</v>
      </c>
    </row>
    <row r="12" spans="1:1" x14ac:dyDescent="0.35">
      <c r="A12" t="s">
        <v>1276</v>
      </c>
    </row>
    <row r="13" spans="1:1" x14ac:dyDescent="0.35">
      <c r="A13" t="s">
        <v>1269</v>
      </c>
    </row>
    <row r="15" spans="1:1" x14ac:dyDescent="0.35">
      <c r="A15" s="6" t="s">
        <v>1270</v>
      </c>
    </row>
    <row r="16" spans="1:1" x14ac:dyDescent="0.35">
      <c r="A16" t="s">
        <v>1277</v>
      </c>
    </row>
    <row r="17" spans="1:1" x14ac:dyDescent="0.35">
      <c r="A17" t="s">
        <v>1271</v>
      </c>
    </row>
    <row r="19" spans="1:1" x14ac:dyDescent="0.35">
      <c r="A19" s="6" t="s">
        <v>1272</v>
      </c>
    </row>
    <row r="20" spans="1:1" x14ac:dyDescent="0.35">
      <c r="A20" s="7" t="s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Customer_Data</vt:lpstr>
      <vt:lpstr>Pivot_Analysis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Oyebode</dc:creator>
  <cp:lastModifiedBy>Abraham Oyebode</cp:lastModifiedBy>
  <dcterms:created xsi:type="dcterms:W3CDTF">2026-02-11T16:44:59Z</dcterms:created>
  <dcterms:modified xsi:type="dcterms:W3CDTF">2026-02-21T17:18:29Z</dcterms:modified>
</cp:coreProperties>
</file>