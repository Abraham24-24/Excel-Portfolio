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35D31968-2069-4EF4-83F3-9B5D5D0B1204}" xr6:coauthVersionLast="47" xr6:coauthVersionMax="47" xr10:uidLastSave="{00000000-0000-0000-0000-000000000000}"/>
  <bookViews>
    <workbookView xWindow="0" yWindow="0" windowWidth="19200" windowHeight="10080" xr2:uid="{7B1361A6-A3E2-4971-BBB8-E2D399A055ED}"/>
  </bookViews>
  <sheets>
    <sheet name="Financial_Data" sheetId="6" r:id="rId1"/>
    <sheet name="Pivot_Analysis" sheetId="9" r:id="rId2"/>
    <sheet name="Dashboard" sheetId="10" r:id="rId3"/>
    <sheet name="Insights" sheetId="3" r:id="rId4"/>
  </sheets>
  <definedNames>
    <definedName name="Slicer_Month">#N/A</definedName>
  </definedNames>
  <calcPr calcId="191029"/>
  <pivotCaches>
    <pivotCache cacheId="1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0" l="1"/>
  <c r="H13" i="6"/>
  <c r="H12" i="6"/>
  <c r="H11" i="6"/>
  <c r="H10" i="6"/>
  <c r="H9" i="6"/>
  <c r="H8" i="6"/>
  <c r="H7" i="6"/>
  <c r="H6" i="6"/>
  <c r="H5" i="6"/>
  <c r="H4" i="6"/>
  <c r="H3" i="6"/>
  <c r="H2" i="6"/>
  <c r="I2" i="6"/>
  <c r="J2" i="6" s="1"/>
  <c r="K2" i="6" s="1"/>
  <c r="G4" i="10" l="1"/>
  <c r="I4" i="6"/>
  <c r="J4" i="6" s="1"/>
  <c r="K4" i="6" s="1"/>
  <c r="I8" i="6"/>
  <c r="J8" i="6" s="1"/>
  <c r="K8" i="6" s="1"/>
  <c r="I5" i="6"/>
  <c r="J5" i="6" s="1"/>
  <c r="K5" i="6" s="1"/>
  <c r="I12" i="6"/>
  <c r="J12" i="6" s="1"/>
  <c r="K12" i="6" s="1"/>
  <c r="I9" i="6"/>
  <c r="J9" i="6" s="1"/>
  <c r="K9" i="6" s="1"/>
  <c r="I13" i="6"/>
  <c r="J13" i="6" s="1"/>
  <c r="K13" i="6" s="1"/>
  <c r="I3" i="6"/>
  <c r="J3" i="6" s="1"/>
  <c r="K3" i="6" s="1"/>
  <c r="I7" i="6"/>
  <c r="J7" i="6" s="1"/>
  <c r="K7" i="6" s="1"/>
  <c r="I11" i="6"/>
  <c r="J11" i="6" s="1"/>
  <c r="K11" i="6" s="1"/>
  <c r="I6" i="6"/>
  <c r="J6" i="6" s="1"/>
  <c r="K6" i="6" s="1"/>
  <c r="I10" i="6"/>
  <c r="J10" i="6" s="1"/>
  <c r="K10" i="6" s="1"/>
  <c r="D3" i="6"/>
  <c r="E3" i="6" s="1"/>
  <c r="D4" i="6"/>
  <c r="E4" i="6" s="1"/>
  <c r="D5" i="6"/>
  <c r="E5" i="6" s="1"/>
  <c r="D6" i="6"/>
  <c r="E6" i="6" s="1"/>
  <c r="D7" i="6"/>
  <c r="E7" i="6" s="1"/>
  <c r="D8" i="6"/>
  <c r="E8" i="6" s="1"/>
  <c r="D9" i="6"/>
  <c r="E9" i="6" s="1"/>
  <c r="D10" i="6"/>
  <c r="E10" i="6" s="1"/>
  <c r="D11" i="6"/>
  <c r="E11" i="6" s="1"/>
  <c r="D12" i="6"/>
  <c r="E12" i="6" s="1"/>
  <c r="D13" i="6"/>
  <c r="E13" i="6" s="1"/>
  <c r="D2" i="6"/>
  <c r="E2" i="6" s="1"/>
  <c r="E4" i="10" l="1"/>
  <c r="C4" i="10"/>
</calcChain>
</file>

<file path=xl/sharedStrings.xml><?xml version="1.0" encoding="utf-8"?>
<sst xmlns="http://schemas.openxmlformats.org/spreadsheetml/2006/main" count="85" uniqueCount="57">
  <si>
    <t>Month</t>
  </si>
  <si>
    <t>Budget Revenue</t>
  </si>
  <si>
    <t>Actual Revenue</t>
  </si>
  <si>
    <t>Revenue Variance</t>
  </si>
  <si>
    <t>Revenue Variance %</t>
  </si>
  <si>
    <t>Budget Expenses</t>
  </si>
  <si>
    <t>Actual Expenses</t>
  </si>
  <si>
    <t>Profit</t>
  </si>
  <si>
    <t>Profit Margin %</t>
  </si>
  <si>
    <t>January</t>
  </si>
  <si>
    <t>February</t>
  </si>
  <si>
    <t>March</t>
  </si>
  <si>
    <t>April</t>
  </si>
  <si>
    <t>May</t>
  </si>
  <si>
    <t>June</t>
  </si>
  <si>
    <t>July</t>
  </si>
  <si>
    <t>August</t>
  </si>
  <si>
    <t>September</t>
  </si>
  <si>
    <t>October</t>
  </si>
  <si>
    <t>November</t>
  </si>
  <si>
    <t>Expense Variance</t>
  </si>
  <si>
    <t>December</t>
  </si>
  <si>
    <t>Overall Financial Health</t>
  </si>
  <si>
    <t>Strategic Recommendation</t>
  </si>
  <si>
    <t>To sustain performance, the business should:</t>
  </si>
  <si>
    <t>Analyze drivers behind November’s strong performance</t>
  </si>
  <si>
    <t>Maintain cost efficiency during slower months</t>
  </si>
  <si>
    <t>Implement early-year cost controls to reduce volatility</t>
  </si>
  <si>
    <t>Perfomance</t>
  </si>
  <si>
    <t>Total Revenue</t>
  </si>
  <si>
    <t>Total Profit</t>
  </si>
  <si>
    <t>Row Labels</t>
  </si>
  <si>
    <t>Strong</t>
  </si>
  <si>
    <t>Weak</t>
  </si>
  <si>
    <t>Grand Total</t>
  </si>
  <si>
    <t>Sum of Profit</t>
  </si>
  <si>
    <t>Sum of Actual Revenue</t>
  </si>
  <si>
    <t>Count of Month</t>
  </si>
  <si>
    <t>FINANCIAL PERFOMANCE DASBOARD</t>
  </si>
  <si>
    <t>Average Profit Margin</t>
  </si>
  <si>
    <t>Revenue Growth</t>
  </si>
  <si>
    <t>Financial Performance Insights</t>
  </si>
  <si>
    <t>The company generated total revenue of 848,849 and total profit of 456,348 during the year.</t>
  </si>
  <si>
    <t>This reflects strong profitability and effective cost management across most months.</t>
  </si>
  <si>
    <t>Revenue and Profit Trends</t>
  </si>
  <si>
    <t>Revenue and profit showed a generally upward trend throughout the year, despite normal monthly fluctuations.</t>
  </si>
  <si>
    <t>November recorded the highest revenue and highest profit, making it the strongest performing month.</t>
  </si>
  <si>
    <t>January recorded the lowest profit, making it the weakest month of the year.</t>
  </si>
  <si>
    <t>Perfomance Distribution</t>
  </si>
  <si>
    <t>Out of 12 months, 11 months were classified as Strong and 1 month was classified as Weak.</t>
  </si>
  <si>
    <t>This indicates consistent operational efficiency and financial stability throughout the year.</t>
  </si>
  <si>
    <t>Strategic Observation</t>
  </si>
  <si>
    <t>The business demonstrates strong revenue generation capability with improving profitability over time, particularly in the final quarter of the year.</t>
  </si>
  <si>
    <t>Profit Margin Analysis</t>
  </si>
  <si>
    <t>The average profit margin remained strong throughout the year, with most months exceeding 40%.</t>
  </si>
  <si>
    <t>Higher margins in the final quarter indicate improved cost efficiency and stronger revenue leverage.</t>
  </si>
  <si>
    <t>Lower margin months early in the year suggest higher relative expenses, highlighting opportunities for tighter cost control during slower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</si>
</sst>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Calibri"/>
      <family val="2"/>
      <scheme val="minor"/>
    </font>
    <font>
      <b/>
      <sz val="11"/>
      <color theme="1"/>
      <name val="Calibri"/>
      <family val="2"/>
      <scheme val="minor"/>
    </font>
    <font>
      <sz val="10"/>
      <name val="Calibri"/>
      <family val="2"/>
      <scheme val="minor"/>
    </font>
    <font>
      <b/>
      <sz val="16"/>
      <color theme="1"/>
      <name val="Calibri"/>
      <family val="2"/>
      <scheme val="minor"/>
    </font>
    <font>
      <b/>
      <sz val="20"/>
      <color theme="1"/>
      <name val="Calibri"/>
      <family val="2"/>
      <scheme val="minor"/>
    </font>
    <font>
      <sz val="11"/>
      <name val="Calibri"/>
      <family val="2"/>
      <scheme val="minor"/>
    </font>
    <font>
      <b/>
      <sz val="22"/>
      <name val="Calibri"/>
      <family val="2"/>
      <scheme val="minor"/>
    </font>
    <font>
      <sz val="16"/>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theme="9" tint="0.79998168889431442"/>
      </patternFill>
    </fill>
    <fill>
      <patternFill patternType="solid">
        <fgColor theme="8" tint="0.39997558519241921"/>
        <bgColor indexed="64"/>
      </patternFill>
    </fill>
    <fill>
      <patternFill patternType="solid">
        <fgColor theme="5" tint="-0.249977111117893"/>
        <bgColor indexed="64"/>
      </patternFill>
    </fill>
  </fills>
  <borders count="7">
    <border>
      <left/>
      <right/>
      <top/>
      <bottom/>
      <diagonal/>
    </border>
    <border>
      <left/>
      <right/>
      <top style="thin">
        <color theme="4" tint="0.39997558519241921"/>
      </top>
      <bottom/>
      <diagonal/>
    </border>
    <border>
      <left style="thin">
        <color theme="4" tint="0.39997558519241921"/>
      </left>
      <right/>
      <top/>
      <bottom style="thin">
        <color theme="4" tint="0.39997558519241921"/>
      </bottom>
      <diagonal/>
    </border>
    <border>
      <left style="thin">
        <color theme="9"/>
      </left>
      <right/>
      <top style="thin">
        <color theme="4" tint="0.39997558519241921"/>
      </top>
      <bottom/>
      <diagonal/>
    </border>
    <border>
      <left style="thin">
        <color theme="9"/>
      </left>
      <right/>
      <top/>
      <bottom/>
      <diagonal/>
    </border>
    <border>
      <left style="thin">
        <color theme="9"/>
      </left>
      <right/>
      <top/>
      <bottom style="thin">
        <color theme="4" tint="0.39997558519241921"/>
      </bottom>
      <diagonal/>
    </border>
    <border>
      <left style="thin">
        <color theme="9"/>
      </left>
      <right style="thin">
        <color theme="4" tint="0.39997558519241921"/>
      </right>
      <top/>
      <bottom style="thin">
        <color theme="4" tint="0.39997558519241921"/>
      </bottom>
      <diagonal/>
    </border>
  </borders>
  <cellStyleXfs count="1">
    <xf numFmtId="0" fontId="0" fillId="0" borderId="0"/>
  </cellStyleXfs>
  <cellXfs count="28">
    <xf numFmtId="0" fontId="0" fillId="0" borderId="0" xfId="0"/>
    <xf numFmtId="0" fontId="0" fillId="2" borderId="1" xfId="0" applyFont="1" applyFill="1" applyBorder="1"/>
    <xf numFmtId="0" fontId="0" fillId="0" borderId="0" xfId="0" pivotButton="1"/>
    <xf numFmtId="0" fontId="0" fillId="0" borderId="0" xfId="0" applyAlignment="1">
      <alignment horizontal="left"/>
    </xf>
    <xf numFmtId="0" fontId="0" fillId="0" borderId="0" xfId="0" applyNumberFormat="1"/>
    <xf numFmtId="0" fontId="3" fillId="0" borderId="0" xfId="0" applyFont="1" applyAlignment="1">
      <alignment horizontal="left" vertical="center"/>
    </xf>
    <xf numFmtId="0" fontId="5" fillId="0" borderId="0" xfId="0" applyFont="1"/>
    <xf numFmtId="0" fontId="6" fillId="4" borderId="0" xfId="0" applyFont="1" applyFill="1"/>
    <xf numFmtId="0" fontId="7" fillId="4" borderId="0" xfId="0" applyFont="1" applyFill="1"/>
    <xf numFmtId="0" fontId="6" fillId="4" borderId="0" xfId="0" applyFont="1" applyFill="1" applyAlignment="1">
      <alignment horizontal="center"/>
    </xf>
    <xf numFmtId="0" fontId="8" fillId="4" borderId="0" xfId="0" applyFont="1" applyFill="1"/>
    <xf numFmtId="9" fontId="8" fillId="4" borderId="0" xfId="0" applyNumberFormat="1" applyFont="1" applyFill="1"/>
    <xf numFmtId="0" fontId="0" fillId="3" borderId="3" xfId="0" applyFont="1" applyFill="1" applyBorder="1"/>
    <xf numFmtId="9" fontId="0" fillId="3" borderId="3" xfId="0" applyNumberFormat="1" applyFont="1" applyFill="1" applyBorder="1"/>
    <xf numFmtId="0" fontId="0" fillId="2" borderId="3" xfId="0" applyFont="1" applyFill="1" applyBorder="1"/>
    <xf numFmtId="9" fontId="0" fillId="2" borderId="3" xfId="0" applyNumberFormat="1" applyFont="1" applyFill="1" applyBorder="1"/>
    <xf numFmtId="0" fontId="0" fillId="3" borderId="1" xfId="0" applyFont="1" applyFill="1" applyBorder="1"/>
    <xf numFmtId="0" fontId="2" fillId="2" borderId="0" xfId="0" applyFont="1" applyFill="1" applyBorder="1"/>
    <xf numFmtId="0" fontId="2" fillId="2" borderId="4" xfId="0" applyFont="1" applyFill="1" applyBorder="1"/>
    <xf numFmtId="0" fontId="2" fillId="2" borderId="2" xfId="0" applyFont="1" applyFill="1" applyBorder="1"/>
    <xf numFmtId="0" fontId="2" fillId="2" borderId="5" xfId="0" applyFont="1" applyFill="1" applyBorder="1"/>
    <xf numFmtId="9" fontId="2" fillId="2" borderId="5" xfId="0" applyNumberFormat="1" applyFont="1" applyFill="1" applyBorder="1"/>
    <xf numFmtId="0" fontId="2" fillId="2" borderId="6" xfId="0" applyFont="1" applyFill="1" applyBorder="1"/>
    <xf numFmtId="0" fontId="2" fillId="5" borderId="0" xfId="0" applyFont="1" applyFill="1"/>
    <xf numFmtId="0" fontId="0" fillId="5" borderId="0" xfId="0" applyFill="1"/>
    <xf numFmtId="0" fontId="4" fillId="5" borderId="0" xfId="0" applyFont="1" applyFill="1"/>
    <xf numFmtId="0" fontId="1" fillId="5" borderId="0" xfId="0" applyFont="1" applyFill="1"/>
    <xf numFmtId="0" fontId="0" fillId="5" borderId="0" xfId="0" applyFill="1" applyAlignment="1">
      <alignment wrapText="1"/>
    </xf>
  </cellXfs>
  <cellStyles count="1">
    <cellStyle name="Normal" xfId="0" builtinId="0"/>
  </cellStyles>
  <dxfs count="17">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style="thin">
          <color theme="9"/>
        </left>
        <right style="thin">
          <color theme="9"/>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9"/>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color auto="1"/>
      </font>
    </dxf>
    <dxf>
      <font>
        <sz val="10"/>
      </font>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[Project_4_Financial_Perfomane_Dashboard.xlsx]Pivot_Analysis!PivotTable4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Pivot_Analysis!$F$3</c:f>
              <c:strCache>
                <c:ptCount val="1"/>
                <c:pt idx="0">
                  <c:v>Total</c:v>
                </c:pt>
              </c:strCache>
            </c:strRef>
          </c:tx>
          <c:spPr>
            <a:ln w="28575" cap="rnd">
              <a:solidFill>
                <a:schemeClr val="accent1"/>
              </a:solidFill>
              <a:round/>
            </a:ln>
            <a:effectLst/>
          </c:spPr>
          <c:marker>
            <c:symbol val="none"/>
          </c:marker>
          <c:cat>
            <c:strRef>
              <c:f>Pivot_Analysis!$E$4:$E$16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Pivot_Analysis!$F$4:$F$16</c:f>
              <c:numCache>
                <c:formatCode>General</c:formatCode>
                <c:ptCount val="12"/>
                <c:pt idx="0">
                  <c:v>10156</c:v>
                </c:pt>
                <c:pt idx="1">
                  <c:v>29966</c:v>
                </c:pt>
                <c:pt idx="2">
                  <c:v>29527</c:v>
                </c:pt>
                <c:pt idx="3">
                  <c:v>25226</c:v>
                </c:pt>
                <c:pt idx="4">
                  <c:v>36610</c:v>
                </c:pt>
                <c:pt idx="5">
                  <c:v>25341</c:v>
                </c:pt>
                <c:pt idx="6">
                  <c:v>47243</c:v>
                </c:pt>
                <c:pt idx="7">
                  <c:v>54368</c:v>
                </c:pt>
                <c:pt idx="8">
                  <c:v>37249</c:v>
                </c:pt>
                <c:pt idx="9">
                  <c:v>46413</c:v>
                </c:pt>
                <c:pt idx="10">
                  <c:v>75633</c:v>
                </c:pt>
                <c:pt idx="11">
                  <c:v>38616</c:v>
                </c:pt>
              </c:numCache>
            </c:numRef>
          </c:val>
          <c:smooth val="0"/>
          <c:extLst>
            <c:ext xmlns:c16="http://schemas.microsoft.com/office/drawing/2014/chart" uri="{C3380CC4-5D6E-409C-BE32-E72D297353CC}">
              <c16:uniqueId val="{00000000-446C-426D-8AAB-C459C7DD9A1E}"/>
            </c:ext>
          </c:extLst>
        </c:ser>
        <c:dLbls>
          <c:showLegendKey val="0"/>
          <c:showVal val="0"/>
          <c:showCatName val="0"/>
          <c:showSerName val="0"/>
          <c:showPercent val="0"/>
          <c:showBubbleSize val="0"/>
        </c:dLbls>
        <c:smooth val="0"/>
        <c:axId val="608429880"/>
        <c:axId val="608430600"/>
      </c:lineChart>
      <c:catAx>
        <c:axId val="608429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30600"/>
        <c:crosses val="autoZero"/>
        <c:auto val="1"/>
        <c:lblAlgn val="ctr"/>
        <c:lblOffset val="100"/>
        <c:noMultiLvlLbl val="0"/>
      </c:catAx>
      <c:valAx>
        <c:axId val="608430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8429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[Project_4_Financial_Perfomane_Dashboard.xlsx]Pivot_Analysis!PivotTable4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Pivot_Analysis!$F$3</c:f>
              <c:strCache>
                <c:ptCount val="1"/>
                <c:pt idx="0">
                  <c:v>Total</c:v>
                </c:pt>
              </c:strCache>
            </c:strRef>
          </c:tx>
          <c:spPr>
            <a:ln w="28575" cap="rnd">
              <a:solidFill>
                <a:schemeClr val="accent1"/>
              </a:solidFill>
              <a:round/>
            </a:ln>
            <a:effectLst/>
          </c:spPr>
          <c:marker>
            <c:symbol val="none"/>
          </c:marker>
          <c:cat>
            <c:strRef>
              <c:f>Pivot_Analysis!$E$4:$E$16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Pivot_Analysis!$F$4:$F$16</c:f>
              <c:numCache>
                <c:formatCode>General</c:formatCode>
                <c:ptCount val="12"/>
                <c:pt idx="0">
                  <c:v>10156</c:v>
                </c:pt>
                <c:pt idx="1">
                  <c:v>29966</c:v>
                </c:pt>
                <c:pt idx="2">
                  <c:v>29527</c:v>
                </c:pt>
                <c:pt idx="3">
                  <c:v>25226</c:v>
                </c:pt>
                <c:pt idx="4">
                  <c:v>36610</c:v>
                </c:pt>
                <c:pt idx="5">
                  <c:v>25341</c:v>
                </c:pt>
                <c:pt idx="6">
                  <c:v>47243</c:v>
                </c:pt>
                <c:pt idx="7">
                  <c:v>54368</c:v>
                </c:pt>
                <c:pt idx="8">
                  <c:v>37249</c:v>
                </c:pt>
                <c:pt idx="9">
                  <c:v>46413</c:v>
                </c:pt>
                <c:pt idx="10">
                  <c:v>75633</c:v>
                </c:pt>
                <c:pt idx="11">
                  <c:v>38616</c:v>
                </c:pt>
              </c:numCache>
            </c:numRef>
          </c:val>
          <c:smooth val="0"/>
          <c:extLst>
            <c:ext xmlns:c16="http://schemas.microsoft.com/office/drawing/2014/chart" uri="{C3380CC4-5D6E-409C-BE32-E72D297353CC}">
              <c16:uniqueId val="{00000000-3B31-45F8-96FF-1787B13A4738}"/>
            </c:ext>
          </c:extLst>
        </c:ser>
        <c:dLbls>
          <c:showLegendKey val="0"/>
          <c:showVal val="0"/>
          <c:showCatName val="0"/>
          <c:showSerName val="0"/>
          <c:showPercent val="0"/>
          <c:showBubbleSize val="0"/>
        </c:dLbls>
        <c:smooth val="0"/>
        <c:axId val="388161640"/>
        <c:axId val="388162000"/>
      </c:lineChart>
      <c:catAx>
        <c:axId val="38816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62000"/>
        <c:crosses val="autoZero"/>
        <c:auto val="1"/>
        <c:lblAlgn val="ctr"/>
        <c:lblOffset val="100"/>
        <c:noMultiLvlLbl val="0"/>
      </c:catAx>
      <c:valAx>
        <c:axId val="38816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61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[Project_4_Financial_Perfomane_Dashboard.xlsx]Pivot_Analysis!PivotTable4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Pivot_Analysis!$F$3</c:f>
              <c:strCache>
                <c:ptCount val="1"/>
                <c:pt idx="0">
                  <c:v>Total</c:v>
                </c:pt>
              </c:strCache>
            </c:strRef>
          </c:tx>
          <c:spPr>
            <a:ln w="28575" cap="rnd">
              <a:solidFill>
                <a:schemeClr val="accent1"/>
              </a:solidFill>
              <a:round/>
            </a:ln>
            <a:effectLst/>
          </c:spPr>
          <c:marker>
            <c:symbol val="none"/>
          </c:marker>
          <c:cat>
            <c:strRef>
              <c:f>Pivot_Analysis!$E$4:$E$16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Pivot_Analysis!$F$4:$F$16</c:f>
              <c:numCache>
                <c:formatCode>General</c:formatCode>
                <c:ptCount val="12"/>
                <c:pt idx="0">
                  <c:v>10156</c:v>
                </c:pt>
                <c:pt idx="1">
                  <c:v>29966</c:v>
                </c:pt>
                <c:pt idx="2">
                  <c:v>29527</c:v>
                </c:pt>
                <c:pt idx="3">
                  <c:v>25226</c:v>
                </c:pt>
                <c:pt idx="4">
                  <c:v>36610</c:v>
                </c:pt>
                <c:pt idx="5">
                  <c:v>25341</c:v>
                </c:pt>
                <c:pt idx="6">
                  <c:v>47243</c:v>
                </c:pt>
                <c:pt idx="7">
                  <c:v>54368</c:v>
                </c:pt>
                <c:pt idx="8">
                  <c:v>37249</c:v>
                </c:pt>
                <c:pt idx="9">
                  <c:v>46413</c:v>
                </c:pt>
                <c:pt idx="10">
                  <c:v>75633</c:v>
                </c:pt>
                <c:pt idx="11">
                  <c:v>38616</c:v>
                </c:pt>
              </c:numCache>
            </c:numRef>
          </c:val>
          <c:smooth val="0"/>
          <c:extLst>
            <c:ext xmlns:c16="http://schemas.microsoft.com/office/drawing/2014/chart" uri="{C3380CC4-5D6E-409C-BE32-E72D297353CC}">
              <c16:uniqueId val="{00000000-D71F-418A-8D9F-CFAAAE846EE5}"/>
            </c:ext>
          </c:extLst>
        </c:ser>
        <c:dLbls>
          <c:showLegendKey val="0"/>
          <c:showVal val="0"/>
          <c:showCatName val="0"/>
          <c:showSerName val="0"/>
          <c:showPercent val="0"/>
          <c:showBubbleSize val="0"/>
        </c:dLbls>
        <c:smooth val="0"/>
        <c:axId val="388156240"/>
        <c:axId val="388159840"/>
      </c:lineChart>
      <c:catAx>
        <c:axId val="38815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59840"/>
        <c:crosses val="autoZero"/>
        <c:auto val="1"/>
        <c:lblAlgn val="ctr"/>
        <c:lblOffset val="100"/>
        <c:noMultiLvlLbl val="0"/>
      </c:catAx>
      <c:valAx>
        <c:axId val="38815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5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[Project_4_Financial_Perfomane_Dashboard.xlsx]Pivot_Analysis!PivotTable4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Pivot_Analysis!$F$3</c:f>
              <c:strCache>
                <c:ptCount val="1"/>
                <c:pt idx="0">
                  <c:v>Total</c:v>
                </c:pt>
              </c:strCache>
            </c:strRef>
          </c:tx>
          <c:spPr>
            <a:ln w="28575" cap="rnd">
              <a:solidFill>
                <a:schemeClr val="accent1"/>
              </a:solidFill>
              <a:round/>
            </a:ln>
            <a:effectLst/>
          </c:spPr>
          <c:marker>
            <c:symbol val="none"/>
          </c:marker>
          <c:cat>
            <c:strRef>
              <c:f>Pivot_Analysis!$E$4:$E$16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Pivot_Analysis!$F$4:$F$16</c:f>
              <c:numCache>
                <c:formatCode>General</c:formatCode>
                <c:ptCount val="12"/>
                <c:pt idx="0">
                  <c:v>10156</c:v>
                </c:pt>
                <c:pt idx="1">
                  <c:v>29966</c:v>
                </c:pt>
                <c:pt idx="2">
                  <c:v>29527</c:v>
                </c:pt>
                <c:pt idx="3">
                  <c:v>25226</c:v>
                </c:pt>
                <c:pt idx="4">
                  <c:v>36610</c:v>
                </c:pt>
                <c:pt idx="5">
                  <c:v>25341</c:v>
                </c:pt>
                <c:pt idx="6">
                  <c:v>47243</c:v>
                </c:pt>
                <c:pt idx="7">
                  <c:v>54368</c:v>
                </c:pt>
                <c:pt idx="8">
                  <c:v>37249</c:v>
                </c:pt>
                <c:pt idx="9">
                  <c:v>46413</c:v>
                </c:pt>
                <c:pt idx="10">
                  <c:v>75633</c:v>
                </c:pt>
                <c:pt idx="11">
                  <c:v>38616</c:v>
                </c:pt>
              </c:numCache>
            </c:numRef>
          </c:val>
          <c:smooth val="0"/>
          <c:extLst>
            <c:ext xmlns:c16="http://schemas.microsoft.com/office/drawing/2014/chart" uri="{C3380CC4-5D6E-409C-BE32-E72D297353CC}">
              <c16:uniqueId val="{00000000-2493-47D7-BCB4-403D604B719D}"/>
            </c:ext>
          </c:extLst>
        </c:ser>
        <c:dLbls>
          <c:showLegendKey val="0"/>
          <c:showVal val="0"/>
          <c:showCatName val="0"/>
          <c:showSerName val="0"/>
          <c:showPercent val="0"/>
          <c:showBubbleSize val="0"/>
        </c:dLbls>
        <c:smooth val="0"/>
        <c:axId val="386078544"/>
        <c:axId val="386077104"/>
      </c:lineChart>
      <c:catAx>
        <c:axId val="38607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077104"/>
        <c:crosses val="autoZero"/>
        <c:auto val="1"/>
        <c:lblAlgn val="ctr"/>
        <c:lblOffset val="100"/>
        <c:noMultiLvlLbl val="0"/>
      </c:catAx>
      <c:valAx>
        <c:axId val="386077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07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[Project_4_Financial_Perfomane_Dashboard.xlsx]Pivot_Analysis!PivotTable5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Pivot_Analysis!$I$3</c:f>
              <c:strCache>
                <c:ptCount val="1"/>
                <c:pt idx="0">
                  <c:v>Total</c:v>
                </c:pt>
              </c:strCache>
            </c:strRef>
          </c:tx>
          <c:spPr>
            <a:ln w="28575" cap="rnd">
              <a:solidFill>
                <a:schemeClr val="accent1"/>
              </a:solidFill>
              <a:round/>
            </a:ln>
            <a:effectLst/>
          </c:spPr>
          <c:marker>
            <c:symbol val="none"/>
          </c:marker>
          <c:cat>
            <c:strRef>
              <c:f>Pivot_Analysis!$H$4:$H$6</c:f>
              <c:strCache>
                <c:ptCount val="2"/>
                <c:pt idx="0">
                  <c:v>Strong</c:v>
                </c:pt>
                <c:pt idx="1">
                  <c:v>Weak</c:v>
                </c:pt>
              </c:strCache>
            </c:strRef>
          </c:cat>
          <c:val>
            <c:numRef>
              <c:f>Pivot_Analysis!$I$4:$I$6</c:f>
              <c:numCache>
                <c:formatCode>General</c:formatCode>
                <c:ptCount val="2"/>
                <c:pt idx="0">
                  <c:v>11</c:v>
                </c:pt>
                <c:pt idx="1">
                  <c:v>1</c:v>
                </c:pt>
              </c:numCache>
            </c:numRef>
          </c:val>
          <c:smooth val="0"/>
          <c:extLst>
            <c:ext xmlns:c16="http://schemas.microsoft.com/office/drawing/2014/chart" uri="{C3380CC4-5D6E-409C-BE32-E72D297353CC}">
              <c16:uniqueId val="{00000000-5899-48CC-A826-3780ADC88D18}"/>
            </c:ext>
          </c:extLst>
        </c:ser>
        <c:dLbls>
          <c:showLegendKey val="0"/>
          <c:showVal val="0"/>
          <c:showCatName val="0"/>
          <c:showSerName val="0"/>
          <c:showPercent val="0"/>
          <c:showBubbleSize val="0"/>
        </c:dLbls>
        <c:smooth val="0"/>
        <c:axId val="347236872"/>
        <c:axId val="347236152"/>
      </c:lineChart>
      <c:catAx>
        <c:axId val="347236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36152"/>
        <c:crosses val="autoZero"/>
        <c:auto val="1"/>
        <c:lblAlgn val="ctr"/>
        <c:lblOffset val="100"/>
        <c:noMultiLvlLbl val="0"/>
      </c:catAx>
      <c:valAx>
        <c:axId val="347236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236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[Project_4_Financial_Perfomane_Dashboard.xlsx]Pivot_Analysis!PivotTable5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Pivot_Analysis!$I$3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Pivot_Analysis!$H$4:$H$6</c:f>
              <c:strCache>
                <c:ptCount val="2"/>
                <c:pt idx="0">
                  <c:v>Strong</c:v>
                </c:pt>
                <c:pt idx="1">
                  <c:v>Weak</c:v>
                </c:pt>
              </c:strCache>
            </c:strRef>
          </c:cat>
          <c:val>
            <c:numRef>
              <c:f>Pivot_Analysis!$I$4:$I$6</c:f>
              <c:numCache>
                <c:formatCode>General</c:formatCode>
                <c:ptCount val="2"/>
                <c:pt idx="0">
                  <c:v>11</c:v>
                </c:pt>
                <c:pt idx="1">
                  <c:v>1</c:v>
                </c:pt>
              </c:numCache>
            </c:numRef>
          </c:val>
          <c:extLst>
            <c:ext xmlns:c16="http://schemas.microsoft.com/office/drawing/2014/chart" uri="{C3380CC4-5D6E-409C-BE32-E72D297353CC}">
              <c16:uniqueId val="{00000000-A4ED-4A26-9FC1-6F1E3CD6099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[Project_4_Financial_Perfomane_Dashboard.xlsx]Pivot_Analysis!PivotTable2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Monthly Revenue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c:f>
              <c:strCache>
                <c:ptCount val="1"/>
                <c:pt idx="0">
                  <c:v>Total</c:v>
                </c:pt>
              </c:strCache>
            </c:strRef>
          </c:tx>
          <c:spPr>
            <a:ln w="28575" cap="rnd">
              <a:solidFill>
                <a:schemeClr val="accent1"/>
              </a:solidFill>
              <a:round/>
            </a:ln>
            <a:effectLst/>
          </c:spPr>
          <c:marker>
            <c:symbol val="none"/>
          </c:marker>
          <c:cat>
            <c:strRef>
              <c:f>Pivot_Analysis!$A$4:$A$16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Pivot_Analysis!$B$4:$B$16</c:f>
              <c:numCache>
                <c:formatCode>General</c:formatCode>
                <c:ptCount val="12"/>
                <c:pt idx="0">
                  <c:v>48156</c:v>
                </c:pt>
                <c:pt idx="1">
                  <c:v>49455</c:v>
                </c:pt>
                <c:pt idx="2">
                  <c:v>52366</c:v>
                </c:pt>
                <c:pt idx="3">
                  <c:v>52104</c:v>
                </c:pt>
                <c:pt idx="4">
                  <c:v>64522</c:v>
                </c:pt>
                <c:pt idx="5">
                  <c:v>59058</c:v>
                </c:pt>
                <c:pt idx="6">
                  <c:v>82535</c:v>
                </c:pt>
                <c:pt idx="7">
                  <c:v>95478</c:v>
                </c:pt>
                <c:pt idx="8">
                  <c:v>49516</c:v>
                </c:pt>
                <c:pt idx="9">
                  <c:v>102189</c:v>
                </c:pt>
                <c:pt idx="10">
                  <c:v>109340</c:v>
                </c:pt>
                <c:pt idx="11">
                  <c:v>84130</c:v>
                </c:pt>
              </c:numCache>
            </c:numRef>
          </c:val>
          <c:smooth val="0"/>
          <c:extLst>
            <c:ext xmlns:c16="http://schemas.microsoft.com/office/drawing/2014/chart" uri="{C3380CC4-5D6E-409C-BE32-E72D297353CC}">
              <c16:uniqueId val="{00000000-D647-4B87-9A49-89A018E06644}"/>
            </c:ext>
          </c:extLst>
        </c:ser>
        <c:dLbls>
          <c:showLegendKey val="0"/>
          <c:showVal val="0"/>
          <c:showCatName val="0"/>
          <c:showSerName val="0"/>
          <c:showPercent val="0"/>
          <c:showBubbleSize val="0"/>
        </c:dLbls>
        <c:smooth val="0"/>
        <c:axId val="386080344"/>
        <c:axId val="386081064"/>
      </c:lineChart>
      <c:catAx>
        <c:axId val="386080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081064"/>
        <c:crosses val="autoZero"/>
        <c:auto val="1"/>
        <c:lblAlgn val="ctr"/>
        <c:lblOffset val="100"/>
        <c:noMultiLvlLbl val="0"/>
      </c:catAx>
      <c:valAx>
        <c:axId val="386081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080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[Project_4_Financial_Perfomane_Dashboard.xlsx]Pivot_Analysis!PivotTable5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Perfomance</a:t>
            </a:r>
            <a:r>
              <a:rPr lang="en-US" baseline="0"/>
              <a:t> Distribution</a:t>
            </a:r>
            <a:endParaRPr lang="en-US"/>
          </a:p>
        </c:rich>
      </c:tx>
      <c:layout>
        <c:manualLayout>
          <c:xMode val="edge"/>
          <c:yMode val="edge"/>
          <c:x val="0.32983666734174732"/>
          <c:y val="0.1623247630399000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0329111986001749"/>
          <c:y val="0.3142107757363663"/>
          <c:w val="0.41147353455818025"/>
          <c:h val="0.68578922426363376"/>
        </c:manualLayout>
      </c:layout>
      <c:doughnutChart>
        <c:varyColors val="1"/>
        <c:ser>
          <c:idx val="0"/>
          <c:order val="0"/>
          <c:tx>
            <c:strRef>
              <c:f>Pivot_Analysis!$I$3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35-4B2B-9ECB-B1B371D0E6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35-4B2B-9ECB-B1B371D0E6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35-4B2B-9ECB-B1B371D0E6D2}"/>
              </c:ext>
            </c:extLst>
          </c:dPt>
          <c:cat>
            <c:strRef>
              <c:f>Pivot_Analysis!$H$4:$H$6</c:f>
              <c:strCache>
                <c:ptCount val="2"/>
                <c:pt idx="0">
                  <c:v>Strong</c:v>
                </c:pt>
                <c:pt idx="1">
                  <c:v>Weak</c:v>
                </c:pt>
              </c:strCache>
            </c:strRef>
          </c:cat>
          <c:val>
            <c:numRef>
              <c:f>Pivot_Analysis!$I$4:$I$6</c:f>
              <c:numCache>
                <c:formatCode>General</c:formatCode>
                <c:ptCount val="2"/>
                <c:pt idx="0">
                  <c:v>11</c:v>
                </c:pt>
                <c:pt idx="1">
                  <c:v>1</c:v>
                </c:pt>
              </c:numCache>
            </c:numRef>
          </c:val>
          <c:extLst>
            <c:ext xmlns:c16="http://schemas.microsoft.com/office/drawing/2014/chart" uri="{C3380CC4-5D6E-409C-BE32-E72D297353CC}">
              <c16:uniqueId val="{00000006-8B35-4B2B-9ECB-B1B371D0E6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[Project_4_Financial_Perfomane_Dashboard.xlsx]Pivot_Analysis!PivotTable4</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Profit Perfomance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Pivot_Analysis!$F$3</c:f>
              <c:strCache>
                <c:ptCount val="1"/>
                <c:pt idx="0">
                  <c:v>Total</c:v>
                </c:pt>
              </c:strCache>
            </c:strRef>
          </c:tx>
          <c:spPr>
            <a:solidFill>
              <a:schemeClr val="accent1"/>
            </a:solidFill>
            <a:ln>
              <a:noFill/>
            </a:ln>
            <a:effectLst/>
          </c:spPr>
          <c:invertIfNegative val="0"/>
          <c:cat>
            <c:strRef>
              <c:f>Pivot_Analysis!$E$4:$E$16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Pivot_Analysis!$F$4:$F$16</c:f>
              <c:numCache>
                <c:formatCode>General</c:formatCode>
                <c:ptCount val="12"/>
                <c:pt idx="0">
                  <c:v>10156</c:v>
                </c:pt>
                <c:pt idx="1">
                  <c:v>29966</c:v>
                </c:pt>
                <c:pt idx="2">
                  <c:v>29527</c:v>
                </c:pt>
                <c:pt idx="3">
                  <c:v>25226</c:v>
                </c:pt>
                <c:pt idx="4">
                  <c:v>36610</c:v>
                </c:pt>
                <c:pt idx="5">
                  <c:v>25341</c:v>
                </c:pt>
                <c:pt idx="6">
                  <c:v>47243</c:v>
                </c:pt>
                <c:pt idx="7">
                  <c:v>54368</c:v>
                </c:pt>
                <c:pt idx="8">
                  <c:v>37249</c:v>
                </c:pt>
                <c:pt idx="9">
                  <c:v>46413</c:v>
                </c:pt>
                <c:pt idx="10">
                  <c:v>75633</c:v>
                </c:pt>
                <c:pt idx="11">
                  <c:v>38616</c:v>
                </c:pt>
              </c:numCache>
            </c:numRef>
          </c:val>
          <c:extLst>
            <c:ext xmlns:c16="http://schemas.microsoft.com/office/drawing/2014/chart" uri="{C3380CC4-5D6E-409C-BE32-E72D297353CC}">
              <c16:uniqueId val="{00000000-B050-4442-8ACE-A9CA6CC66ADD}"/>
            </c:ext>
          </c:extLst>
        </c:ser>
        <c:dLbls>
          <c:showLegendKey val="0"/>
          <c:showVal val="0"/>
          <c:showCatName val="0"/>
          <c:showSerName val="0"/>
          <c:showPercent val="0"/>
          <c:showBubbleSize val="0"/>
        </c:dLbls>
        <c:gapWidth val="219"/>
        <c:overlap val="-27"/>
        <c:axId val="741785792"/>
        <c:axId val="741786152"/>
      </c:barChart>
      <c:catAx>
        <c:axId val="74178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786152"/>
        <c:crosses val="autoZero"/>
        <c:auto val="1"/>
        <c:lblAlgn val="ctr"/>
        <c:lblOffset val="100"/>
        <c:noMultiLvlLbl val="0"/>
      </c:catAx>
      <c:valAx>
        <c:axId val="741786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78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984250</xdr:colOff>
      <xdr:row>3</xdr:row>
      <xdr:rowOff>38100</xdr:rowOff>
    </xdr:from>
    <xdr:to>
      <xdr:col>7</xdr:col>
      <xdr:colOff>628650</xdr:colOff>
      <xdr:row>18</xdr:row>
      <xdr:rowOff>19050</xdr:rowOff>
    </xdr:to>
    <xdr:graphicFrame macro="">
      <xdr:nvGraphicFramePr>
        <xdr:cNvPr id="4" name="Chart 3">
          <a:extLst>
            <a:ext uri="{FF2B5EF4-FFF2-40B4-BE49-F238E27FC236}">
              <a16:creationId xmlns:a16="http://schemas.microsoft.com/office/drawing/2014/main" id="{570B2D1E-F6C9-18E8-0A3A-8A46AD45D3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984250</xdr:colOff>
      <xdr:row>3</xdr:row>
      <xdr:rowOff>38100</xdr:rowOff>
    </xdr:from>
    <xdr:to>
      <xdr:col>7</xdr:col>
      <xdr:colOff>628650</xdr:colOff>
      <xdr:row>18</xdr:row>
      <xdr:rowOff>19050</xdr:rowOff>
    </xdr:to>
    <xdr:graphicFrame macro="">
      <xdr:nvGraphicFramePr>
        <xdr:cNvPr id="5" name="Chart 4">
          <a:extLst>
            <a:ext uri="{FF2B5EF4-FFF2-40B4-BE49-F238E27FC236}">
              <a16:creationId xmlns:a16="http://schemas.microsoft.com/office/drawing/2014/main" id="{F0F85BEC-5DA1-BD30-13FA-A03A6D5A4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984250</xdr:colOff>
      <xdr:row>3</xdr:row>
      <xdr:rowOff>38100</xdr:rowOff>
    </xdr:from>
    <xdr:to>
      <xdr:col>7</xdr:col>
      <xdr:colOff>628650</xdr:colOff>
      <xdr:row>18</xdr:row>
      <xdr:rowOff>19050</xdr:rowOff>
    </xdr:to>
    <xdr:graphicFrame macro="">
      <xdr:nvGraphicFramePr>
        <xdr:cNvPr id="6" name="Chart 5">
          <a:extLst>
            <a:ext uri="{FF2B5EF4-FFF2-40B4-BE49-F238E27FC236}">
              <a16:creationId xmlns:a16="http://schemas.microsoft.com/office/drawing/2014/main" id="{678EC875-8043-65CB-20A7-17BA56689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984250</xdr:colOff>
      <xdr:row>3</xdr:row>
      <xdr:rowOff>38100</xdr:rowOff>
    </xdr:from>
    <xdr:to>
      <xdr:col>7</xdr:col>
      <xdr:colOff>628650</xdr:colOff>
      <xdr:row>18</xdr:row>
      <xdr:rowOff>19050</xdr:rowOff>
    </xdr:to>
    <xdr:graphicFrame macro="">
      <xdr:nvGraphicFramePr>
        <xdr:cNvPr id="7" name="Chart 6">
          <a:extLst>
            <a:ext uri="{FF2B5EF4-FFF2-40B4-BE49-F238E27FC236}">
              <a16:creationId xmlns:a16="http://schemas.microsoft.com/office/drawing/2014/main" id="{2661465F-46FA-8252-3E35-BF686B7BF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374650</xdr:colOff>
      <xdr:row>3</xdr:row>
      <xdr:rowOff>38100</xdr:rowOff>
    </xdr:from>
    <xdr:to>
      <xdr:col>11</xdr:col>
      <xdr:colOff>425450</xdr:colOff>
      <xdr:row>18</xdr:row>
      <xdr:rowOff>19050</xdr:rowOff>
    </xdr:to>
    <xdr:graphicFrame macro="">
      <xdr:nvGraphicFramePr>
        <xdr:cNvPr id="8" name="Chart 7">
          <a:extLst>
            <a:ext uri="{FF2B5EF4-FFF2-40B4-BE49-F238E27FC236}">
              <a16:creationId xmlns:a16="http://schemas.microsoft.com/office/drawing/2014/main" id="{6A1A7EA5-3AD7-2427-CD75-A7674F2A4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22225</xdr:colOff>
      <xdr:row>2</xdr:row>
      <xdr:rowOff>41275</xdr:rowOff>
    </xdr:from>
    <xdr:to>
      <xdr:col>9</xdr:col>
      <xdr:colOff>428625</xdr:colOff>
      <xdr:row>17</xdr:row>
      <xdr:rowOff>22225</xdr:rowOff>
    </xdr:to>
    <xdr:graphicFrame macro="">
      <xdr:nvGraphicFramePr>
        <xdr:cNvPr id="12" name="Chart 11">
          <a:extLst>
            <a:ext uri="{FF2B5EF4-FFF2-40B4-BE49-F238E27FC236}">
              <a16:creationId xmlns:a16="http://schemas.microsoft.com/office/drawing/2014/main" id="{88294968-E39F-45EA-3248-EA0C8FBC0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274851</xdr:colOff>
      <xdr:row>8</xdr:row>
      <xdr:rowOff>38247</xdr:rowOff>
    </xdr:from>
    <xdr:to>
      <xdr:col>10</xdr:col>
      <xdr:colOff>113731</xdr:colOff>
      <xdr:row>23</xdr:row>
      <xdr:rowOff>16583</xdr:rowOff>
    </xdr:to>
    <xdr:graphicFrame macro="">
      <xdr:nvGraphicFramePr>
        <xdr:cNvPr id="2" name="Chart 1">
          <a:extLst>
            <a:ext uri="{FF2B5EF4-FFF2-40B4-BE49-F238E27FC236}">
              <a16:creationId xmlns:a16="http://schemas.microsoft.com/office/drawing/2014/main" id="{975A8DFE-6C08-4C90-9601-86A16BFAA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554272</xdr:colOff>
      <xdr:row>7</xdr:row>
      <xdr:rowOff>143390</xdr:rowOff>
    </xdr:from>
    <xdr:to>
      <xdr:col>37</xdr:col>
      <xdr:colOff>464402</xdr:colOff>
      <xdr:row>22</xdr:row>
      <xdr:rowOff>85122</xdr:rowOff>
    </xdr:to>
    <xdr:graphicFrame macro="">
      <xdr:nvGraphicFramePr>
        <xdr:cNvPr id="5" name="Chart 4">
          <a:extLst>
            <a:ext uri="{FF2B5EF4-FFF2-40B4-BE49-F238E27FC236}">
              <a16:creationId xmlns:a16="http://schemas.microsoft.com/office/drawing/2014/main" id="{98646A2D-6BC5-4181-A988-CBA877699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125999</xdr:colOff>
      <xdr:row>8</xdr:row>
      <xdr:rowOff>85298</xdr:rowOff>
    </xdr:from>
    <xdr:to>
      <xdr:col>21</xdr:col>
      <xdr:colOff>85299</xdr:colOff>
      <xdr:row>23</xdr:row>
      <xdr:rowOff>33719</xdr:rowOff>
    </xdr:to>
    <xdr:graphicFrame macro="">
      <xdr:nvGraphicFramePr>
        <xdr:cNvPr id="6" name="Chart 5">
          <a:extLst>
            <a:ext uri="{FF2B5EF4-FFF2-40B4-BE49-F238E27FC236}">
              <a16:creationId xmlns:a16="http://schemas.microsoft.com/office/drawing/2014/main" id="{ABD9F406-B0A5-49C9-9AD8-9A11E2C91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362267</xdr:colOff>
      <xdr:row>24</xdr:row>
      <xdr:rowOff>161452</xdr:rowOff>
    </xdr:from>
    <xdr:to>
      <xdr:col>11</xdr:col>
      <xdr:colOff>2729552</xdr:colOff>
      <xdr:row>45</xdr:row>
      <xdr:rowOff>9476</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F5437901-1359-4564-8E69-D8C95804653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726148" y="4985556"/>
              <a:ext cx="2973852" cy="3629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8.25995" createdVersion="8" refreshedVersion="8" minRefreshableVersion="3" recordCount="12" xr:uid="{F46F378E-EE7C-4487-A8B6-4552BA5E92D2}">
  <cacheSource type="worksheet">
    <worksheetSource ref="A1:K13" sheet="Financial_Data"/>
  </cacheSource>
  <cacheFields count="11">
    <cacheField name="Month" numFmtId="0">
      <sharedItems count="12">
        <s v="January"/>
        <s v="February"/>
        <s v="March"/>
        <s v="April"/>
        <s v="May"/>
        <s v="June"/>
        <s v="July"/>
        <s v="August"/>
        <s v="September"/>
        <s v="October"/>
        <s v="November"/>
        <s v="December"/>
      </sharedItems>
    </cacheField>
    <cacheField name="Budget Revenue" numFmtId="0">
      <sharedItems containsSemiMixedTypes="0" containsString="0" containsNumber="1" containsInteger="1" minValue="44000" maxValue="105000"/>
    </cacheField>
    <cacheField name="Actual Revenue" numFmtId="0">
      <sharedItems containsSemiMixedTypes="0" containsString="0" containsNumber="1" containsInteger="1" minValue="48156" maxValue="109340"/>
    </cacheField>
    <cacheField name="Revenue Variance" numFmtId="0">
      <sharedItems containsSemiMixedTypes="0" containsString="0" containsNumber="1" containsInteger="1" minValue="-4942" maxValue="7535"/>
    </cacheField>
    <cacheField name="Revenue Variance %" numFmtId="9">
      <sharedItems containsSemiMixedTypes="0" containsString="0" containsNumber="1" minValue="-7.7218750000000003E-2" maxValue="0.12536363636363637"/>
    </cacheField>
    <cacheField name="Budget Expenses" numFmtId="0">
      <sharedItems containsSemiMixedTypes="0" containsString="0" containsNumber="1" containsInteger="1" minValue="14000" maxValue="60000"/>
    </cacheField>
    <cacheField name="Actual Expenses" numFmtId="0">
      <sharedItems containsSemiMixedTypes="0" containsString="0" containsNumber="1" containsInteger="1" minValue="12267" maxValue="55776"/>
    </cacheField>
    <cacheField name="Expense Variance" numFmtId="0">
      <sharedItems containsSemiMixedTypes="0" containsString="0" containsNumber="1" containsInteger="1" minValue="-18000" maxValue="4224"/>
    </cacheField>
    <cacheField name="Profit" numFmtId="0">
      <sharedItems containsSemiMixedTypes="0" containsString="0" containsNumber="1" containsInteger="1" minValue="10156" maxValue="75633"/>
    </cacheField>
    <cacheField name="Profit Margin %" numFmtId="9">
      <sharedItems containsSemiMixedTypes="0" containsString="0" containsNumber="1" minValue="0.21089791510922834" maxValue="0.75226189514500363"/>
    </cacheField>
    <cacheField name="Perfomance" numFmtId="0">
      <sharedItems count="3">
        <s v="Weak"/>
        <s v="Strong"/>
        <s v="Moderate" u="1"/>
      </sharedItems>
    </cacheField>
  </cacheFields>
  <extLst>
    <ext xmlns:x14="http://schemas.microsoft.com/office/spreadsheetml/2009/9/main" uri="{725AE2AE-9491-48be-B2B4-4EB974FC3084}">
      <x14:pivotCacheDefinition pivotCacheId="398596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50000"/>
    <n v="48156"/>
    <n v="-1844"/>
    <n v="-3.6880000000000003E-2"/>
    <n v="20000"/>
    <n v="38000"/>
    <n v="-18000"/>
    <n v="10156"/>
    <n v="0.21089791510922834"/>
    <x v="0"/>
  </r>
  <r>
    <x v="1"/>
    <n v="52000"/>
    <n v="49455"/>
    <n v="-2545"/>
    <n v="-4.8942307692307695E-2"/>
    <n v="22000"/>
    <n v="19489"/>
    <n v="2511"/>
    <n v="29966"/>
    <n v="0.60592457789910015"/>
    <x v="1"/>
  </r>
  <r>
    <x v="2"/>
    <n v="54000"/>
    <n v="52366"/>
    <n v="-1634"/>
    <n v="-3.025925925925926E-2"/>
    <n v="24000"/>
    <n v="22839"/>
    <n v="1161"/>
    <n v="29527"/>
    <n v="0.56385822862162471"/>
    <x v="1"/>
  </r>
  <r>
    <x v="3"/>
    <n v="56000"/>
    <n v="52104"/>
    <n v="-3896"/>
    <n v="-6.9571428571428576E-2"/>
    <n v="26000"/>
    <n v="26878"/>
    <n v="-878"/>
    <n v="25226"/>
    <n v="0.48414709043451559"/>
    <x v="1"/>
  </r>
  <r>
    <x v="4"/>
    <n v="60000"/>
    <n v="64522"/>
    <n v="4522"/>
    <n v="7.5366666666666665E-2"/>
    <n v="30000"/>
    <n v="27912"/>
    <n v="2088"/>
    <n v="36610"/>
    <n v="0.56740336629366728"/>
    <x v="1"/>
  </r>
  <r>
    <x v="5"/>
    <n v="64000"/>
    <n v="59058"/>
    <n v="-4942"/>
    <n v="-7.7218750000000003E-2"/>
    <n v="32000"/>
    <n v="33717"/>
    <n v="-1717"/>
    <n v="25341"/>
    <n v="0.42908666057096412"/>
    <x v="1"/>
  </r>
  <r>
    <x v="6"/>
    <n v="75000"/>
    <n v="82535"/>
    <n v="7535"/>
    <n v="0.10046666666666666"/>
    <n v="38000"/>
    <n v="35292"/>
    <n v="2708"/>
    <n v="47243"/>
    <n v="0.57239958805355307"/>
    <x v="1"/>
  </r>
  <r>
    <x v="7"/>
    <n v="96000"/>
    <n v="95478"/>
    <n v="-522"/>
    <n v="-5.4374999999999996E-3"/>
    <n v="40000"/>
    <n v="41110"/>
    <n v="-1110"/>
    <n v="54368"/>
    <n v="0.56942960682041932"/>
    <x v="1"/>
  </r>
  <r>
    <x v="8"/>
    <n v="44000"/>
    <n v="49516"/>
    <n v="5516"/>
    <n v="0.12536363636363637"/>
    <n v="14000"/>
    <n v="12267"/>
    <n v="1733"/>
    <n v="37249"/>
    <n v="0.75226189514500363"/>
    <x v="1"/>
  </r>
  <r>
    <x v="9"/>
    <n v="99000"/>
    <n v="102189"/>
    <n v="3189"/>
    <n v="3.2212121212121213E-2"/>
    <n v="60000"/>
    <n v="55776"/>
    <n v="4224"/>
    <n v="46413"/>
    <n v="0.45418782843554589"/>
    <x v="1"/>
  </r>
  <r>
    <x v="10"/>
    <n v="105000"/>
    <n v="109340"/>
    <n v="4340"/>
    <n v="4.1333333333333333E-2"/>
    <n v="35000"/>
    <n v="33707"/>
    <n v="1293"/>
    <n v="75633"/>
    <n v="0.69172306566672759"/>
    <x v="1"/>
  </r>
  <r>
    <x v="11"/>
    <n v="88000"/>
    <n v="84130"/>
    <n v="-3870"/>
    <n v="-4.3977272727272726E-2"/>
    <n v="44000"/>
    <n v="45514"/>
    <n v="-1514"/>
    <n v="38616"/>
    <n v="0.459003922500891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C7DA7B-9B07-4593-9819-1BDEFE617380}"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3:I6" firstHeaderRow="1" firstDataRow="1" firstDataCol="1"/>
  <pivotFields count="11">
    <pivotField dataField="1" showAll="0">
      <items count="13">
        <item x="0"/>
        <item x="1"/>
        <item x="2"/>
        <item x="3"/>
        <item x="4"/>
        <item x="5"/>
        <item x="6"/>
        <item x="7"/>
        <item x="8"/>
        <item x="9"/>
        <item x="10"/>
        <item x="11"/>
        <item t="default"/>
      </items>
    </pivotField>
    <pivotField showAll="0"/>
    <pivotField showAll="0"/>
    <pivotField showAll="0"/>
    <pivotField numFmtId="9" showAll="0"/>
    <pivotField showAll="0"/>
    <pivotField showAll="0"/>
    <pivotField showAll="0"/>
    <pivotField showAll="0"/>
    <pivotField numFmtId="9" showAll="0"/>
    <pivotField axis="axisRow" showAll="0">
      <items count="4">
        <item m="1" x="2"/>
        <item x="1"/>
        <item x="0"/>
        <item t="default"/>
      </items>
    </pivotField>
  </pivotFields>
  <rowFields count="1">
    <field x="10"/>
  </rowFields>
  <rowItems count="3">
    <i>
      <x v="1"/>
    </i>
    <i>
      <x v="2"/>
    </i>
    <i t="grand">
      <x/>
    </i>
  </rowItems>
  <colItems count="1">
    <i/>
  </colItems>
  <dataFields count="1">
    <dataField name="Count of Month" fld="0" subtotal="count" baseField="0" baseItem="0"/>
  </dataFields>
  <chartFormats count="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10" count="1" selected="0">
            <x v="0"/>
          </reference>
        </references>
      </pivotArea>
    </chartFormat>
    <chartFormat chart="18" format="7">
      <pivotArea type="data" outline="0" fieldPosition="0">
        <references count="2">
          <reference field="4294967294" count="1" selected="0">
            <x v="0"/>
          </reference>
          <reference field="10" count="1" selected="0">
            <x v="1"/>
          </reference>
        </references>
      </pivotArea>
    </chartFormat>
    <chartFormat chart="18"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9EB0E8-830F-444A-BD9E-6197868B544E}"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3">
  <location ref="E3:F16" firstHeaderRow="1" firstDataRow="1" firstDataCol="1"/>
  <pivotFields count="11">
    <pivotField axis="axisRow" showAll="0">
      <items count="13">
        <item x="0"/>
        <item x="1"/>
        <item x="2"/>
        <item x="3"/>
        <item x="4"/>
        <item x="5"/>
        <item x="6"/>
        <item x="7"/>
        <item x="8"/>
        <item x="9"/>
        <item x="10"/>
        <item x="11"/>
        <item t="default"/>
      </items>
    </pivotField>
    <pivotField showAll="0"/>
    <pivotField showAll="0"/>
    <pivotField showAll="0"/>
    <pivotField numFmtId="9" showAll="0"/>
    <pivotField showAll="0"/>
    <pivotField showAll="0"/>
    <pivotField showAll="0"/>
    <pivotField dataField="1" showAll="0"/>
    <pivotField numFmtId="9"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Profit" fld="8" baseField="0" baseItem="0"/>
  </dataFields>
  <formats count="3">
    <format dxfId="16">
      <pivotArea dataOnly="0" labelOnly="1" fieldPosition="0">
        <references count="1">
          <reference field="0" count="1">
            <x v="2"/>
          </reference>
        </references>
      </pivotArea>
    </format>
    <format dxfId="15">
      <pivotArea dataOnly="0" labelOnly="1" fieldPosition="0">
        <references count="1">
          <reference field="0" count="1">
            <x v="2"/>
          </reference>
        </references>
      </pivotArea>
    </format>
    <format dxfId="14">
      <pivotArea dataOnly="0" labelOnly="1" fieldPosition="0">
        <references count="1">
          <reference field="0" count="1">
            <x v="2"/>
          </reference>
        </references>
      </pivotArea>
    </format>
  </formats>
  <chartFormats count="5">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CF9822-03CB-47B7-B9B0-E7BC4F0E36D6}"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6" firstHeaderRow="1" firstDataRow="1" firstDataCol="1"/>
  <pivotFields count="11">
    <pivotField axis="axisRow" showAll="0">
      <items count="13">
        <item x="0"/>
        <item x="1"/>
        <item x="2"/>
        <item x="3"/>
        <item x="4"/>
        <item x="5"/>
        <item x="6"/>
        <item x="7"/>
        <item x="8"/>
        <item x="9"/>
        <item x="10"/>
        <item x="11"/>
        <item t="default"/>
      </items>
    </pivotField>
    <pivotField showAll="0"/>
    <pivotField dataField="1" showAll="0"/>
    <pivotField showAll="0"/>
    <pivotField numFmtId="9" showAll="0"/>
    <pivotField showAll="0"/>
    <pivotField showAll="0"/>
    <pivotField showAll="0"/>
    <pivotField showAll="0"/>
    <pivotField numFmtId="9"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Actual Revenue" fld="2"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2E59703-B92C-4989-9D18-EC225F89E24B}" sourceName="Month">
  <pivotTables>
    <pivotTable tabId="9" name="PivotTable2"/>
    <pivotTable tabId="9" name="PivotTable4"/>
    <pivotTable tabId="9" name="PivotTable5"/>
  </pivotTables>
  <data>
    <tabular pivotCacheId="39859600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88B45BD-8531-40B1-82C7-A2E82A2197B3}"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2843CB-4F3E-469B-8BC0-CFF86ECF28F5}" name="Table3" displayName="Table3" ref="A1:K13" totalsRowShown="0" headerRowDxfId="0" dataDxfId="1" tableBorderDxfId="13">
  <autoFilter ref="A1:K13" xr:uid="{4B2843CB-4F3E-469B-8BC0-CFF86ECF28F5}"/>
  <tableColumns count="11">
    <tableColumn id="1" xr3:uid="{F3F127E4-E65A-472D-ABA2-A34E3E9A0C6C}" name="Month" dataDxfId="12"/>
    <tableColumn id="2" xr3:uid="{A7D94841-B40A-492F-B86E-0633BE9D9672}" name="Budget Revenue" dataDxfId="11"/>
    <tableColumn id="3" xr3:uid="{3179BECE-185D-4178-B74E-76EDB170018A}" name="Actual Revenue" dataDxfId="10"/>
    <tableColumn id="4" xr3:uid="{18D2793E-2774-417C-86D5-F095E0EFF691}" name="Revenue Variance" dataDxfId="9">
      <calculatedColumnFormula>C2-B2</calculatedColumnFormula>
    </tableColumn>
    <tableColumn id="5" xr3:uid="{35624F7C-F717-4AC8-BE1B-C0BFB4326D44}" name="Revenue Variance %" dataDxfId="8">
      <calculatedColumnFormula>D2 / B2</calculatedColumnFormula>
    </tableColumn>
    <tableColumn id="6" xr3:uid="{5973EC72-6968-4ECD-BDF0-41C0ED53FE72}" name="Budget Expenses" dataDxfId="7"/>
    <tableColumn id="7" xr3:uid="{9A045FBB-AF71-44C3-BF52-C704903109C3}" name="Actual Expenses" dataDxfId="6"/>
    <tableColumn id="8" xr3:uid="{C6569591-84A8-4764-8D21-A198DFDA873F}" name="Expense Variance" dataDxfId="5">
      <calculatedColumnFormula>F2-G2</calculatedColumnFormula>
    </tableColumn>
    <tableColumn id="9" xr3:uid="{068C82AE-5804-4F95-AE5C-5E5167B9DED4}" name="Profit" dataDxfId="4">
      <calculatedColumnFormula>C2-G2</calculatedColumnFormula>
    </tableColumn>
    <tableColumn id="10" xr3:uid="{FC5F3820-55F2-4BE9-AC12-F67B6DC7E071}" name="Profit Margin %" dataDxfId="3">
      <calculatedColumnFormula>I2/C2</calculatedColumnFormula>
    </tableColumn>
    <tableColumn id="11" xr3:uid="{03C9E31A-DA24-445B-926E-7607121AD318}" name="Perfomance" dataDxfId="2">
      <calculatedColumnFormula>IF(J2&gt;=0.4,"Strong",IF(J2&gt;=0.25,"Moderate","Weak"))</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576D-6C1F-4DAF-B462-4CAB90E8D159}">
  <dimension ref="A1:K1048576"/>
  <sheetViews>
    <sheetView tabSelected="1" workbookViewId="0">
      <selection activeCell="B14" sqref="B14"/>
    </sheetView>
  </sheetViews>
  <sheetFormatPr defaultRowHeight="14.5" x14ac:dyDescent="0.35"/>
  <cols>
    <col min="2" max="2" width="16.36328125" customWidth="1"/>
    <col min="3" max="3" width="15.7265625" customWidth="1"/>
    <col min="4" max="4" width="17.7265625" customWidth="1"/>
    <col min="5" max="5" width="19.6328125" customWidth="1"/>
    <col min="6" max="6" width="16.90625" customWidth="1"/>
    <col min="7" max="7" width="16.26953125" customWidth="1"/>
    <col min="8" max="8" width="17.453125" customWidth="1"/>
    <col min="10" max="10" width="15.81640625" customWidth="1"/>
    <col min="11" max="11" width="12.90625" customWidth="1"/>
  </cols>
  <sheetData>
    <row r="1" spans="1:11" x14ac:dyDescent="0.35">
      <c r="A1" s="17" t="s">
        <v>0</v>
      </c>
      <c r="B1" s="18" t="s">
        <v>1</v>
      </c>
      <c r="C1" s="18" t="s">
        <v>2</v>
      </c>
      <c r="D1" s="18" t="s">
        <v>3</v>
      </c>
      <c r="E1" s="18" t="s">
        <v>4</v>
      </c>
      <c r="F1" s="18" t="s">
        <v>5</v>
      </c>
      <c r="G1" s="18" t="s">
        <v>6</v>
      </c>
      <c r="H1" s="18" t="s">
        <v>20</v>
      </c>
      <c r="I1" s="18" t="s">
        <v>7</v>
      </c>
      <c r="J1" s="18" t="s">
        <v>8</v>
      </c>
      <c r="K1" s="18" t="s">
        <v>28</v>
      </c>
    </row>
    <row r="2" spans="1:11" x14ac:dyDescent="0.35">
      <c r="A2" s="16" t="s">
        <v>9</v>
      </c>
      <c r="B2" s="12">
        <v>50000</v>
      </c>
      <c r="C2" s="12">
        <v>48156</v>
      </c>
      <c r="D2" s="12">
        <f>C2-B2</f>
        <v>-1844</v>
      </c>
      <c r="E2" s="13">
        <f>D2 / B2</f>
        <v>-3.6880000000000003E-2</v>
      </c>
      <c r="F2" s="12">
        <v>20000</v>
      </c>
      <c r="G2" s="12">
        <v>38000</v>
      </c>
      <c r="H2" s="12">
        <f>F2-G2</f>
        <v>-18000</v>
      </c>
      <c r="I2" s="12">
        <f>C2-G2</f>
        <v>10156</v>
      </c>
      <c r="J2" s="13">
        <f>I2/C2</f>
        <v>0.21089791510922834</v>
      </c>
      <c r="K2" s="12" t="str">
        <f>IF(J2&gt;=0.4,"Strong",IF(J2&gt;=0.25,"Moderate","Weak"))</f>
        <v>Weak</v>
      </c>
    </row>
    <row r="3" spans="1:11" x14ac:dyDescent="0.35">
      <c r="A3" s="1" t="s">
        <v>10</v>
      </c>
      <c r="B3" s="14">
        <v>52000</v>
      </c>
      <c r="C3" s="14">
        <v>49455</v>
      </c>
      <c r="D3" s="14">
        <f t="shared" ref="D3:D13" si="0">C3-B3</f>
        <v>-2545</v>
      </c>
      <c r="E3" s="15">
        <f t="shared" ref="E3:E13" si="1">D3 / B3</f>
        <v>-4.8942307692307695E-2</v>
      </c>
      <c r="F3" s="14">
        <v>22000</v>
      </c>
      <c r="G3" s="14">
        <v>19489</v>
      </c>
      <c r="H3" s="14">
        <f t="shared" ref="H3:H13" si="2">F3-G3</f>
        <v>2511</v>
      </c>
      <c r="I3" s="14">
        <f t="shared" ref="I3:I13" si="3">C3-G3</f>
        <v>29966</v>
      </c>
      <c r="J3" s="15">
        <f t="shared" ref="J3:J13" si="4">I3/C3</f>
        <v>0.60592457789910015</v>
      </c>
      <c r="K3" s="14" t="str">
        <f t="shared" ref="K3:K13" si="5">IF(J3&gt;=0.4,"Strong",IF(J3&gt;=0.25,"Moderate","Weak"))</f>
        <v>Strong</v>
      </c>
    </row>
    <row r="4" spans="1:11" x14ac:dyDescent="0.35">
      <c r="A4" s="16" t="s">
        <v>11</v>
      </c>
      <c r="B4" s="12">
        <v>54000</v>
      </c>
      <c r="C4" s="12">
        <v>52366</v>
      </c>
      <c r="D4" s="12">
        <f t="shared" si="0"/>
        <v>-1634</v>
      </c>
      <c r="E4" s="13">
        <f t="shared" si="1"/>
        <v>-3.025925925925926E-2</v>
      </c>
      <c r="F4" s="12">
        <v>24000</v>
      </c>
      <c r="G4" s="12">
        <v>22839</v>
      </c>
      <c r="H4" s="12">
        <f t="shared" si="2"/>
        <v>1161</v>
      </c>
      <c r="I4" s="12">
        <f t="shared" si="3"/>
        <v>29527</v>
      </c>
      <c r="J4" s="13">
        <f t="shared" si="4"/>
        <v>0.56385822862162471</v>
      </c>
      <c r="K4" s="12" t="str">
        <f t="shared" si="5"/>
        <v>Strong</v>
      </c>
    </row>
    <row r="5" spans="1:11" x14ac:dyDescent="0.35">
      <c r="A5" s="1" t="s">
        <v>12</v>
      </c>
      <c r="B5" s="14">
        <v>56000</v>
      </c>
      <c r="C5" s="14">
        <v>52104</v>
      </c>
      <c r="D5" s="14">
        <f t="shared" si="0"/>
        <v>-3896</v>
      </c>
      <c r="E5" s="15">
        <f t="shared" si="1"/>
        <v>-6.9571428571428576E-2</v>
      </c>
      <c r="F5" s="14">
        <v>26000</v>
      </c>
      <c r="G5" s="14">
        <v>26878</v>
      </c>
      <c r="H5" s="14">
        <f t="shared" si="2"/>
        <v>-878</v>
      </c>
      <c r="I5" s="14">
        <f t="shared" si="3"/>
        <v>25226</v>
      </c>
      <c r="J5" s="15">
        <f t="shared" si="4"/>
        <v>0.48414709043451559</v>
      </c>
      <c r="K5" s="14" t="str">
        <f t="shared" si="5"/>
        <v>Strong</v>
      </c>
    </row>
    <row r="6" spans="1:11" x14ac:dyDescent="0.35">
      <c r="A6" s="16" t="s">
        <v>13</v>
      </c>
      <c r="B6" s="12">
        <v>60000</v>
      </c>
      <c r="C6" s="12">
        <v>64522</v>
      </c>
      <c r="D6" s="12">
        <f t="shared" si="0"/>
        <v>4522</v>
      </c>
      <c r="E6" s="13">
        <f t="shared" si="1"/>
        <v>7.5366666666666665E-2</v>
      </c>
      <c r="F6" s="12">
        <v>30000</v>
      </c>
      <c r="G6" s="12">
        <v>27912</v>
      </c>
      <c r="H6" s="12">
        <f t="shared" si="2"/>
        <v>2088</v>
      </c>
      <c r="I6" s="12">
        <f t="shared" si="3"/>
        <v>36610</v>
      </c>
      <c r="J6" s="13">
        <f t="shared" si="4"/>
        <v>0.56740336629366728</v>
      </c>
      <c r="K6" s="12" t="str">
        <f t="shared" si="5"/>
        <v>Strong</v>
      </c>
    </row>
    <row r="7" spans="1:11" x14ac:dyDescent="0.35">
      <c r="A7" s="1" t="s">
        <v>14</v>
      </c>
      <c r="B7" s="14">
        <v>64000</v>
      </c>
      <c r="C7" s="14">
        <v>59058</v>
      </c>
      <c r="D7" s="14">
        <f t="shared" si="0"/>
        <v>-4942</v>
      </c>
      <c r="E7" s="15">
        <f t="shared" si="1"/>
        <v>-7.7218750000000003E-2</v>
      </c>
      <c r="F7" s="14">
        <v>32000</v>
      </c>
      <c r="G7" s="14">
        <v>33717</v>
      </c>
      <c r="H7" s="14">
        <f t="shared" si="2"/>
        <v>-1717</v>
      </c>
      <c r="I7" s="14">
        <f t="shared" si="3"/>
        <v>25341</v>
      </c>
      <c r="J7" s="15">
        <f t="shared" si="4"/>
        <v>0.42908666057096412</v>
      </c>
      <c r="K7" s="14" t="str">
        <f t="shared" si="5"/>
        <v>Strong</v>
      </c>
    </row>
    <row r="8" spans="1:11" x14ac:dyDescent="0.35">
      <c r="A8" s="16" t="s">
        <v>15</v>
      </c>
      <c r="B8" s="12">
        <v>75000</v>
      </c>
      <c r="C8" s="12">
        <v>82535</v>
      </c>
      <c r="D8" s="12">
        <f t="shared" si="0"/>
        <v>7535</v>
      </c>
      <c r="E8" s="13">
        <f t="shared" si="1"/>
        <v>0.10046666666666666</v>
      </c>
      <c r="F8" s="12">
        <v>38000</v>
      </c>
      <c r="G8" s="12">
        <v>35292</v>
      </c>
      <c r="H8" s="12">
        <f t="shared" si="2"/>
        <v>2708</v>
      </c>
      <c r="I8" s="12">
        <f t="shared" si="3"/>
        <v>47243</v>
      </c>
      <c r="J8" s="13">
        <f t="shared" si="4"/>
        <v>0.57239958805355307</v>
      </c>
      <c r="K8" s="12" t="str">
        <f t="shared" si="5"/>
        <v>Strong</v>
      </c>
    </row>
    <row r="9" spans="1:11" x14ac:dyDescent="0.35">
      <c r="A9" s="1" t="s">
        <v>16</v>
      </c>
      <c r="B9" s="14">
        <v>96000</v>
      </c>
      <c r="C9" s="14">
        <v>95478</v>
      </c>
      <c r="D9" s="14">
        <f t="shared" si="0"/>
        <v>-522</v>
      </c>
      <c r="E9" s="15">
        <f t="shared" si="1"/>
        <v>-5.4374999999999996E-3</v>
      </c>
      <c r="F9" s="14">
        <v>40000</v>
      </c>
      <c r="G9" s="14">
        <v>41110</v>
      </c>
      <c r="H9" s="14">
        <f t="shared" si="2"/>
        <v>-1110</v>
      </c>
      <c r="I9" s="14">
        <f t="shared" si="3"/>
        <v>54368</v>
      </c>
      <c r="J9" s="15">
        <f t="shared" si="4"/>
        <v>0.56942960682041932</v>
      </c>
      <c r="K9" s="14" t="str">
        <f t="shared" si="5"/>
        <v>Strong</v>
      </c>
    </row>
    <row r="10" spans="1:11" x14ac:dyDescent="0.35">
      <c r="A10" s="16" t="s">
        <v>17</v>
      </c>
      <c r="B10" s="12">
        <v>44000</v>
      </c>
      <c r="C10" s="12">
        <v>49516</v>
      </c>
      <c r="D10" s="12">
        <f t="shared" si="0"/>
        <v>5516</v>
      </c>
      <c r="E10" s="13">
        <f t="shared" si="1"/>
        <v>0.12536363636363637</v>
      </c>
      <c r="F10" s="12">
        <v>14000</v>
      </c>
      <c r="G10" s="12">
        <v>12267</v>
      </c>
      <c r="H10" s="12">
        <f t="shared" si="2"/>
        <v>1733</v>
      </c>
      <c r="I10" s="12">
        <f t="shared" si="3"/>
        <v>37249</v>
      </c>
      <c r="J10" s="13">
        <f t="shared" si="4"/>
        <v>0.75226189514500363</v>
      </c>
      <c r="K10" s="12" t="str">
        <f t="shared" si="5"/>
        <v>Strong</v>
      </c>
    </row>
    <row r="11" spans="1:11" x14ac:dyDescent="0.35">
      <c r="A11" s="1" t="s">
        <v>18</v>
      </c>
      <c r="B11" s="14">
        <v>99000</v>
      </c>
      <c r="C11" s="14">
        <v>102189</v>
      </c>
      <c r="D11" s="14">
        <f t="shared" si="0"/>
        <v>3189</v>
      </c>
      <c r="E11" s="15">
        <f t="shared" si="1"/>
        <v>3.2212121212121213E-2</v>
      </c>
      <c r="F11" s="14">
        <v>60000</v>
      </c>
      <c r="G11" s="14">
        <v>55776</v>
      </c>
      <c r="H11" s="14">
        <f t="shared" si="2"/>
        <v>4224</v>
      </c>
      <c r="I11" s="14">
        <f t="shared" si="3"/>
        <v>46413</v>
      </c>
      <c r="J11" s="15">
        <f t="shared" si="4"/>
        <v>0.45418782843554589</v>
      </c>
      <c r="K11" s="14" t="str">
        <f t="shared" si="5"/>
        <v>Strong</v>
      </c>
    </row>
    <row r="12" spans="1:11" x14ac:dyDescent="0.35">
      <c r="A12" s="16" t="s">
        <v>19</v>
      </c>
      <c r="B12" s="12">
        <v>105000</v>
      </c>
      <c r="C12" s="12">
        <v>109340</v>
      </c>
      <c r="D12" s="12">
        <f t="shared" si="0"/>
        <v>4340</v>
      </c>
      <c r="E12" s="13">
        <f t="shared" si="1"/>
        <v>4.1333333333333333E-2</v>
      </c>
      <c r="F12" s="12">
        <v>35000</v>
      </c>
      <c r="G12" s="12">
        <v>33707</v>
      </c>
      <c r="H12" s="12">
        <f t="shared" si="2"/>
        <v>1293</v>
      </c>
      <c r="I12" s="12">
        <f t="shared" si="3"/>
        <v>75633</v>
      </c>
      <c r="J12" s="13">
        <f t="shared" si="4"/>
        <v>0.69172306566672759</v>
      </c>
      <c r="K12" s="12" t="str">
        <f t="shared" si="5"/>
        <v>Strong</v>
      </c>
    </row>
    <row r="13" spans="1:11" x14ac:dyDescent="0.35">
      <c r="A13" s="1" t="s">
        <v>21</v>
      </c>
      <c r="B13" s="14">
        <v>88000</v>
      </c>
      <c r="C13" s="14">
        <v>84130</v>
      </c>
      <c r="D13" s="14">
        <f t="shared" si="0"/>
        <v>-3870</v>
      </c>
      <c r="E13" s="15">
        <f t="shared" si="1"/>
        <v>-4.3977272727272726E-2</v>
      </c>
      <c r="F13" s="14">
        <v>44000</v>
      </c>
      <c r="G13" s="14">
        <v>45514</v>
      </c>
      <c r="H13" s="14">
        <f t="shared" si="2"/>
        <v>-1514</v>
      </c>
      <c r="I13" s="14">
        <f t="shared" si="3"/>
        <v>38616</v>
      </c>
      <c r="J13" s="15">
        <f t="shared" si="4"/>
        <v>0.4590039225008915</v>
      </c>
      <c r="K13" s="14" t="str">
        <f t="shared" si="5"/>
        <v>Strong</v>
      </c>
    </row>
    <row r="14" spans="1:11" x14ac:dyDescent="0.35">
      <c r="A14" s="19"/>
      <c r="B14" s="20"/>
      <c r="C14" s="20"/>
      <c r="D14" s="20"/>
      <c r="E14" s="21"/>
      <c r="F14" s="20"/>
      <c r="G14" s="20"/>
      <c r="H14" s="20"/>
      <c r="I14" s="20"/>
      <c r="J14" s="21"/>
      <c r="K14" s="22"/>
    </row>
    <row r="1048576" spans="3:3" x14ac:dyDescent="0.35">
      <c r="C1048576">
        <v>848849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C6DE6-AA4C-4FDF-BA6D-5CA86D4C3BA3}">
  <dimension ref="A3:I16"/>
  <sheetViews>
    <sheetView workbookViewId="0">
      <selection activeCell="B8" sqref="B8"/>
    </sheetView>
  </sheetViews>
  <sheetFormatPr defaultRowHeight="14.5" x14ac:dyDescent="0.35"/>
  <cols>
    <col min="1" max="1" width="12.36328125" bestFit="1" customWidth="1"/>
    <col min="2" max="2" width="20.1796875" bestFit="1" customWidth="1"/>
    <col min="5" max="5" width="12.36328125" bestFit="1" customWidth="1"/>
    <col min="6" max="6" width="11.81640625" bestFit="1" customWidth="1"/>
    <col min="8" max="8" width="12.36328125" bestFit="1" customWidth="1"/>
    <col min="9" max="9" width="14.36328125" bestFit="1" customWidth="1"/>
  </cols>
  <sheetData>
    <row r="3" spans="1:9" x14ac:dyDescent="0.35">
      <c r="A3" s="2" t="s">
        <v>31</v>
      </c>
      <c r="B3" t="s">
        <v>36</v>
      </c>
      <c r="E3" s="2" t="s">
        <v>31</v>
      </c>
      <c r="F3" t="s">
        <v>35</v>
      </c>
      <c r="H3" s="2" t="s">
        <v>31</v>
      </c>
      <c r="I3" t="s">
        <v>37</v>
      </c>
    </row>
    <row r="4" spans="1:9" x14ac:dyDescent="0.35">
      <c r="A4" s="3" t="s">
        <v>9</v>
      </c>
      <c r="B4" s="4">
        <v>48156</v>
      </c>
      <c r="E4" s="3" t="s">
        <v>9</v>
      </c>
      <c r="F4" s="4">
        <v>10156</v>
      </c>
      <c r="H4" s="3" t="s">
        <v>32</v>
      </c>
      <c r="I4" s="4">
        <v>11</v>
      </c>
    </row>
    <row r="5" spans="1:9" x14ac:dyDescent="0.35">
      <c r="A5" s="3" t="s">
        <v>10</v>
      </c>
      <c r="B5" s="4">
        <v>49455</v>
      </c>
      <c r="E5" s="3" t="s">
        <v>10</v>
      </c>
      <c r="F5" s="4">
        <v>29966</v>
      </c>
      <c r="H5" s="3" t="s">
        <v>33</v>
      </c>
      <c r="I5" s="4">
        <v>1</v>
      </c>
    </row>
    <row r="6" spans="1:9" x14ac:dyDescent="0.35">
      <c r="A6" s="3" t="s">
        <v>11</v>
      </c>
      <c r="B6" s="4">
        <v>52366</v>
      </c>
      <c r="E6" s="5" t="s">
        <v>11</v>
      </c>
      <c r="F6" s="4">
        <v>29527</v>
      </c>
      <c r="H6" s="3" t="s">
        <v>34</v>
      </c>
      <c r="I6" s="4">
        <v>12</v>
      </c>
    </row>
    <row r="7" spans="1:9" x14ac:dyDescent="0.35">
      <c r="A7" s="3" t="s">
        <v>12</v>
      </c>
      <c r="B7" s="4">
        <v>52104</v>
      </c>
      <c r="E7" s="3" t="s">
        <v>12</v>
      </c>
      <c r="F7" s="4">
        <v>25226</v>
      </c>
    </row>
    <row r="8" spans="1:9" x14ac:dyDescent="0.35">
      <c r="A8" s="3" t="s">
        <v>13</v>
      </c>
      <c r="B8" s="4">
        <v>64522</v>
      </c>
      <c r="E8" s="3" t="s">
        <v>13</v>
      </c>
      <c r="F8" s="4">
        <v>36610</v>
      </c>
    </row>
    <row r="9" spans="1:9" x14ac:dyDescent="0.35">
      <c r="A9" s="3" t="s">
        <v>14</v>
      </c>
      <c r="B9" s="4">
        <v>59058</v>
      </c>
      <c r="E9" s="3" t="s">
        <v>14</v>
      </c>
      <c r="F9" s="4">
        <v>25341</v>
      </c>
    </row>
    <row r="10" spans="1:9" x14ac:dyDescent="0.35">
      <c r="A10" s="3" t="s">
        <v>15</v>
      </c>
      <c r="B10" s="4">
        <v>82535</v>
      </c>
      <c r="E10" s="3" t="s">
        <v>15</v>
      </c>
      <c r="F10" s="4">
        <v>47243</v>
      </c>
    </row>
    <row r="11" spans="1:9" x14ac:dyDescent="0.35">
      <c r="A11" s="3" t="s">
        <v>16</v>
      </c>
      <c r="B11" s="4">
        <v>95478</v>
      </c>
      <c r="E11" s="3" t="s">
        <v>16</v>
      </c>
      <c r="F11" s="4">
        <v>54368</v>
      </c>
    </row>
    <row r="12" spans="1:9" x14ac:dyDescent="0.35">
      <c r="A12" s="3" t="s">
        <v>17</v>
      </c>
      <c r="B12" s="4">
        <v>49516</v>
      </c>
      <c r="E12" s="3" t="s">
        <v>17</v>
      </c>
      <c r="F12" s="4">
        <v>37249</v>
      </c>
    </row>
    <row r="13" spans="1:9" x14ac:dyDescent="0.35">
      <c r="A13" s="3" t="s">
        <v>18</v>
      </c>
      <c r="B13" s="4">
        <v>102189</v>
      </c>
      <c r="E13" s="3" t="s">
        <v>18</v>
      </c>
      <c r="F13" s="4">
        <v>46413</v>
      </c>
    </row>
    <row r="14" spans="1:9" x14ac:dyDescent="0.35">
      <c r="A14" s="3" t="s">
        <v>19</v>
      </c>
      <c r="B14" s="4">
        <v>109340</v>
      </c>
      <c r="E14" s="3" t="s">
        <v>19</v>
      </c>
      <c r="F14" s="4">
        <v>75633</v>
      </c>
    </row>
    <row r="15" spans="1:9" x14ac:dyDescent="0.35">
      <c r="A15" s="3" t="s">
        <v>21</v>
      </c>
      <c r="B15" s="4">
        <v>84130</v>
      </c>
      <c r="E15" s="3" t="s">
        <v>21</v>
      </c>
      <c r="F15" s="4">
        <v>38616</v>
      </c>
    </row>
    <row r="16" spans="1:9" x14ac:dyDescent="0.35">
      <c r="A16" s="3" t="s">
        <v>34</v>
      </c>
      <c r="B16" s="4">
        <v>848849</v>
      </c>
      <c r="E16" s="3" t="s">
        <v>34</v>
      </c>
      <c r="F16" s="4">
        <v>456348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A190F-9F22-4561-893A-E424CD97C1C6}">
  <dimension ref="A1:L5"/>
  <sheetViews>
    <sheetView showGridLines="0" zoomScale="67" zoomScaleNormal="85" workbookViewId="0">
      <selection activeCell="A4" sqref="A4"/>
    </sheetView>
  </sheetViews>
  <sheetFormatPr defaultRowHeight="14.5" x14ac:dyDescent="0.35"/>
  <cols>
    <col min="1" max="1" width="13.08984375" bestFit="1" customWidth="1"/>
    <col min="3" max="3" width="10.26953125" bestFit="1" customWidth="1"/>
    <col min="5" max="5" width="19.453125" bestFit="1" customWidth="1"/>
    <col min="7" max="7" width="15.1796875" bestFit="1" customWidth="1"/>
    <col min="8" max="8" width="32.6328125" bestFit="1" customWidth="1"/>
    <col min="12" max="12" width="59.36328125" bestFit="1" customWidth="1"/>
  </cols>
  <sheetData>
    <row r="1" spans="1:12" ht="26" x14ac:dyDescent="0.6">
      <c r="A1" s="7"/>
      <c r="B1" s="7"/>
      <c r="C1" s="7"/>
      <c r="D1" s="7"/>
      <c r="E1" s="7"/>
      <c r="F1" s="7"/>
      <c r="G1" s="7"/>
      <c r="H1" s="7"/>
      <c r="L1" s="6" t="s">
        <v>38</v>
      </c>
    </row>
    <row r="2" spans="1:12" ht="28.5" x14ac:dyDescent="0.65">
      <c r="A2" s="8"/>
      <c r="B2" s="7"/>
      <c r="C2" s="7"/>
      <c r="D2" s="7"/>
      <c r="E2" s="7"/>
      <c r="F2" s="9"/>
      <c r="G2" s="7"/>
      <c r="H2" s="7"/>
      <c r="L2" s="6"/>
    </row>
    <row r="3" spans="1:12" ht="21" x14ac:dyDescent="0.5">
      <c r="A3" s="10" t="s">
        <v>29</v>
      </c>
      <c r="B3" s="7"/>
      <c r="C3" s="10" t="s">
        <v>30</v>
      </c>
      <c r="D3" s="7"/>
      <c r="E3" s="10" t="s">
        <v>39</v>
      </c>
      <c r="F3" s="7"/>
      <c r="G3" s="10" t="s">
        <v>40</v>
      </c>
      <c r="H3" s="7"/>
    </row>
    <row r="4" spans="1:12" ht="21" x14ac:dyDescent="0.5">
      <c r="A4" s="10">
        <f>SUM(Financial_Data!C2:C13)</f>
        <v>848849</v>
      </c>
      <c r="B4" s="7"/>
      <c r="C4" s="10">
        <f>SUM(Financial_Data!I2:I13)</f>
        <v>456348</v>
      </c>
      <c r="D4" s="7"/>
      <c r="E4" s="11">
        <f>AVERAGE(Financial_Data!J2:J13)</f>
        <v>0.53002697879593674</v>
      </c>
      <c r="F4" s="7"/>
      <c r="G4" s="11">
        <f>(Financial_Data!C13 - Financial_Data!C2) / Financial_Data!C2</f>
        <v>0.74703048425949004</v>
      </c>
      <c r="H4" s="7"/>
    </row>
    <row r="5" spans="1:12" x14ac:dyDescent="0.35">
      <c r="A5" s="7"/>
      <c r="B5" s="7"/>
      <c r="C5" s="7"/>
      <c r="D5" s="7"/>
      <c r="E5" s="7"/>
      <c r="F5" s="7"/>
      <c r="G5" s="7"/>
      <c r="H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CBF1-0D5E-4D4D-A8ED-AEAE772E90D6}">
  <dimension ref="A1:E28"/>
  <sheetViews>
    <sheetView showGridLines="0" topLeftCell="A21" workbookViewId="0">
      <selection activeCell="A39" sqref="A39"/>
    </sheetView>
  </sheetViews>
  <sheetFormatPr defaultRowHeight="14.5" x14ac:dyDescent="0.35"/>
  <cols>
    <col min="1" max="1" width="228.90625" style="24" bestFit="1" customWidth="1"/>
    <col min="2" max="16384" width="8.7265625" style="24"/>
  </cols>
  <sheetData>
    <row r="1" spans="1:5" ht="21" x14ac:dyDescent="0.5">
      <c r="A1" s="25" t="s">
        <v>41</v>
      </c>
      <c r="B1" s="26"/>
      <c r="C1" s="26"/>
      <c r="D1" s="26"/>
      <c r="E1" s="26"/>
    </row>
    <row r="3" spans="1:5" x14ac:dyDescent="0.35">
      <c r="A3" s="23" t="s">
        <v>22</v>
      </c>
    </row>
    <row r="4" spans="1:5" x14ac:dyDescent="0.35">
      <c r="A4" s="27" t="s">
        <v>42</v>
      </c>
    </row>
    <row r="5" spans="1:5" x14ac:dyDescent="0.35">
      <c r="A5" s="24" t="s">
        <v>43</v>
      </c>
    </row>
    <row r="7" spans="1:5" x14ac:dyDescent="0.35">
      <c r="A7" s="23" t="s">
        <v>44</v>
      </c>
    </row>
    <row r="8" spans="1:5" x14ac:dyDescent="0.35">
      <c r="A8" s="24" t="s">
        <v>45</v>
      </c>
    </row>
    <row r="9" spans="1:5" x14ac:dyDescent="0.35">
      <c r="A9" s="24" t="s">
        <v>46</v>
      </c>
    </row>
    <row r="10" spans="1:5" x14ac:dyDescent="0.35">
      <c r="A10" s="24" t="s">
        <v>47</v>
      </c>
    </row>
    <row r="12" spans="1:5" x14ac:dyDescent="0.35">
      <c r="A12" s="23" t="s">
        <v>48</v>
      </c>
    </row>
    <row r="13" spans="1:5" x14ac:dyDescent="0.35">
      <c r="A13" s="24" t="s">
        <v>49</v>
      </c>
    </row>
    <row r="14" spans="1:5" x14ac:dyDescent="0.35">
      <c r="A14" s="24" t="s">
        <v>50</v>
      </c>
    </row>
    <row r="16" spans="1:5" x14ac:dyDescent="0.35">
      <c r="A16" s="23" t="s">
        <v>51</v>
      </c>
    </row>
    <row r="17" spans="1:1" x14ac:dyDescent="0.35">
      <c r="A17" s="24" t="s">
        <v>52</v>
      </c>
    </row>
    <row r="19" spans="1:1" x14ac:dyDescent="0.35">
      <c r="A19" s="23" t="s">
        <v>53</v>
      </c>
    </row>
    <row r="20" spans="1:1" x14ac:dyDescent="0.35">
      <c r="A20" s="24" t="s">
        <v>54</v>
      </c>
    </row>
    <row r="21" spans="1:1" x14ac:dyDescent="0.35">
      <c r="A21" s="24" t="s">
        <v>55</v>
      </c>
    </row>
    <row r="22" spans="1:1" x14ac:dyDescent="0.35">
      <c r="A22" s="24" t="s">
        <v>56</v>
      </c>
    </row>
    <row r="24" spans="1:1" x14ac:dyDescent="0.35">
      <c r="A24" s="23" t="s">
        <v>23</v>
      </c>
    </row>
    <row r="25" spans="1:1" x14ac:dyDescent="0.35">
      <c r="A25" s="24" t="s">
        <v>24</v>
      </c>
    </row>
    <row r="26" spans="1:1" x14ac:dyDescent="0.35">
      <c r="A26" s="24" t="s">
        <v>26</v>
      </c>
    </row>
    <row r="27" spans="1:1" x14ac:dyDescent="0.35">
      <c r="A27" s="24" t="s">
        <v>25</v>
      </c>
    </row>
    <row r="28" spans="1:1" x14ac:dyDescent="0.35">
      <c r="A28" s="2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Financial_Data</vt:lpstr>
      <vt:lpstr>Pivot_Analysis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Oyebode</dc:creator>
  <cp:lastModifiedBy>Abraham Oyebode</cp:lastModifiedBy>
  <dcterms:created xsi:type="dcterms:W3CDTF">2026-02-23T04:17:30Z</dcterms:created>
  <dcterms:modified xsi:type="dcterms:W3CDTF">2026-02-25T12:45:31Z</dcterms:modified>
</cp:coreProperties>
</file>